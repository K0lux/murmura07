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. Rentabilité &amp; Ratios" sheetId="1" state="visible" r:id="rId3"/>
    <sheet name="4. Bilan Prévisionnel" sheetId="2" state="visible" r:id="rId4"/>
    <sheet name="3. Compte de Résultat" sheetId="3" state="visible" r:id="rId5"/>
    <sheet name="2. Trésorerie An1" sheetId="4" state="visible" r:id="rId6"/>
    <sheet name="1. Hypothèses" sheetId="5" state="visible" r:id="rId7"/>
    <sheet name="6. Résumé Exécuti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<sst xmlns="http://schemas.openxmlformats.org/spreadsheetml/2006/main" count="233" uniqueCount="215">
  <si>
    <t xml:space="preserve">MURMURA — ANALYSE DE RENTABILITÉ &amp; RATIOS FINANCIERS</t>
  </si>
  <si>
    <t xml:space="preserve">INDICATEUR</t>
  </si>
  <si>
    <t xml:space="preserve">AN 1 (2026)</t>
  </si>
  <si>
    <t xml:space="preserve">AN 2 (2027)</t>
  </si>
  <si>
    <t xml:space="preserve">AN 3 (2028)</t>
  </si>
  <si>
    <t xml:space="preserve">  SEUIL DE RENTABILITÉ</t>
  </si>
  <si>
    <t xml:space="preserve">Chiffre d'affaires total</t>
  </si>
  <si>
    <t xml:space="preserve">Charges fixes totales (annuel)</t>
  </si>
  <si>
    <t xml:space="preserve">Charges variables totales (annuel)</t>
  </si>
  <si>
    <t xml:space="preserve">Taux de marge sur coûts variables</t>
  </si>
  <si>
    <t xml:space="preserve">SEUIL DE RENTABILITÉ (FCFA)</t>
  </si>
  <si>
    <t xml:space="preserve">Point Mort (nb mois)</t>
  </si>
  <si>
    <t xml:space="preserve">Nb utilisateurs Premium au seuil</t>
  </si>
  <si>
    <t xml:space="preserve">  RATIOS FINANCIERS CLÉS</t>
  </si>
  <si>
    <t xml:space="preserve">Taux de croissance CA</t>
  </si>
  <si>
    <t xml:space="preserve">N/A</t>
  </si>
  <si>
    <t xml:space="preserve">Marge brute (%)</t>
  </si>
  <si>
    <t xml:space="preserve">Marge nette (%)</t>
  </si>
  <si>
    <t xml:space="preserve">EBITDA</t>
  </si>
  <si>
    <t xml:space="preserve">ROI (Return on Investment)</t>
  </si>
  <si>
    <t xml:space="preserve">Délai de retour investissement</t>
  </si>
  <si>
    <t xml:space="preserve">~20 mois</t>
  </si>
  <si>
    <t xml:space="preserve">Taux de croissance utilisateurs An1→An2</t>
  </si>
  <si>
    <t xml:space="preserve">+567%</t>
  </si>
  <si>
    <t xml:space="preserve">Valeur Actuelle Nette estimée (3 ans)</t>
  </si>
  <si>
    <t xml:space="preserve">&gt; 50 000 000 FCFA</t>
  </si>
  <si>
    <t xml:space="preserve">TRI estimé</t>
  </si>
  <si>
    <t xml:space="preserve">&gt; 120%</t>
  </si>
  <si>
    <t xml:space="preserve">MURMURA — BILANS PRÉVISIONNELS (An 0, An 1, An 2, An 3)</t>
  </si>
  <si>
    <t xml:space="preserve">POSTES DU BILAN</t>
  </si>
  <si>
    <t xml:space="preserve">OUVERTURE (An 0)</t>
  </si>
  <si>
    <t xml:space="preserve">FIN AN 1 (2026)</t>
  </si>
  <si>
    <t xml:space="preserve">FIN AN 2 (2027)</t>
  </si>
  <si>
    <t xml:space="preserve">ACTIF</t>
  </si>
  <si>
    <t xml:space="preserve">A. ACTIF IMMOBILISÉ (net)</t>
  </si>
  <si>
    <t xml:space="preserve">Immobilisations incorporelles (licences, frais)</t>
  </si>
  <si>
    <t xml:space="preserve">Immobilisations corporelles (matériel)</t>
  </si>
  <si>
    <t xml:space="preserve">Immobilisations financières</t>
  </si>
  <si>
    <t xml:space="preserve">TOTAL ACTIF IMMOBILISÉ</t>
  </si>
  <si>
    <t xml:space="preserve">B. ACTIF CIRCULANT</t>
  </si>
  <si>
    <t xml:space="preserve">Créances clients</t>
  </si>
  <si>
    <t xml:space="preserve">Trésorerie (banque + caisse)</t>
  </si>
  <si>
    <t xml:space="preserve">Autres actifs courants</t>
  </si>
  <si>
    <t xml:space="preserve">TOTAL ACTIF CIRCULANT</t>
  </si>
  <si>
    <t xml:space="preserve">TOTAL ACTIF</t>
  </si>
  <si>
    <t xml:space="preserve">PASSIF</t>
  </si>
  <si>
    <t xml:space="preserve">C. CAPITAUX PROPRES</t>
  </si>
  <si>
    <t xml:space="preserve">Capital social</t>
  </si>
  <si>
    <t xml:space="preserve">Résultat net de l'exercice</t>
  </si>
  <si>
    <t xml:space="preserve">Report à nouveau</t>
  </si>
  <si>
    <t xml:space="preserve">TOTAL CAPITAUX PROPRES</t>
  </si>
  <si>
    <t xml:space="preserve">D. DETTES (PASSIF EXIGIBLE)</t>
  </si>
  <si>
    <t xml:space="preserve">Emprunts à long terme (IJE-UniPod)</t>
  </si>
  <si>
    <t xml:space="preserve">Dettes fournisseurs</t>
  </si>
  <si>
    <t xml:space="preserve">Autres dettes (social, fiscal)</t>
  </si>
  <si>
    <t xml:space="preserve">TOTAL DETTES</t>
  </si>
  <si>
    <t xml:space="preserve">TOTAL PASSIF</t>
  </si>
  <si>
    <t xml:space="preserve">MURMURA — COMPTE DE RÉSULTAT PRÉVISIONNEL (AN 1 → AN 3)</t>
  </si>
  <si>
    <t xml:space="preserve">POSTE</t>
  </si>
  <si>
    <t xml:space="preserve">ANNÉE 1 (2026)</t>
  </si>
  <si>
    <t xml:space="preserve">ANNÉE 2 (2027)</t>
  </si>
  <si>
    <t xml:space="preserve">ANNÉE 3 (2028)</t>
  </si>
  <si>
    <t xml:space="preserve">Var. An1→An2</t>
  </si>
  <si>
    <t xml:space="preserve">I. CHIFFRES D'AFFAIRES</t>
  </si>
  <si>
    <t xml:space="preserve">Abonnements Premium (B2C)</t>
  </si>
  <si>
    <t xml:space="preserve">Abonnements Business (B2B)</t>
  </si>
  <si>
    <t xml:space="preserve">API &amp; White-label licensing</t>
  </si>
  <si>
    <t xml:space="preserve">TOTAL CHIFFRE D'AFFAIRES</t>
  </si>
  <si>
    <t xml:space="preserve">II. CHARGES DIRECTES (COGS)</t>
  </si>
  <si>
    <t xml:space="preserve">Infrastructure Cloud &amp; APIs</t>
  </si>
  <si>
    <t xml:space="preserve">Services tiers &amp; intégrations</t>
  </si>
  <si>
    <t xml:space="preserve">TOTAL CHARGES DIRECTES</t>
  </si>
  <si>
    <t xml:space="preserve">MARGE BRUTE</t>
  </si>
  <si>
    <t xml:space="preserve">Taux de marge brute</t>
  </si>
  <si>
    <t xml:space="preserve">III. CHARGES D'EXPLOITATION</t>
  </si>
  <si>
    <t xml:space="preserve">Masse salariale (charges incluses)</t>
  </si>
  <si>
    <t xml:space="preserve">Marketing &amp; Acquisition</t>
  </si>
  <si>
    <t xml:space="preserve">Loyer &amp; Charges générales</t>
  </si>
  <si>
    <t xml:space="preserve">Télécom &amp; Fournitures</t>
  </si>
  <si>
    <t xml:space="preserve">Frais divers &amp; Imprévus</t>
  </si>
  <si>
    <t xml:space="preserve">TOTAL CHARGES EXPLOITATION</t>
  </si>
  <si>
    <t xml:space="preserve">IV. DOTATIONS AUX AMORTISSEMENTS</t>
  </si>
  <si>
    <t xml:space="preserve">Amortissement matériel informatique</t>
  </si>
  <si>
    <t xml:space="preserve">Amortissement logiciels &amp; setup cloud</t>
  </si>
  <si>
    <t xml:space="preserve">Amortissement mobilier</t>
  </si>
  <si>
    <t xml:space="preserve">Amortissement licences</t>
  </si>
  <si>
    <t xml:space="preserve">TOTAL AMORTISSEMENTS</t>
  </si>
  <si>
    <t xml:space="preserve">V. RÉSULTAT D'EXPLOITATION (EBIT)</t>
  </si>
  <si>
    <t xml:space="preserve">Frais financiers (intérêts emprunt)</t>
  </si>
  <si>
    <t xml:space="preserve">VI. RÉSULTAT AVANT IMPÔT (EBT)</t>
  </si>
  <si>
    <t xml:space="preserve">Impôt BIC (25%) — si positif</t>
  </si>
  <si>
    <t xml:space="preserve">VII. RÉSULTAT NET</t>
  </si>
  <si>
    <t xml:space="preserve">Marge nette</t>
  </si>
  <si>
    <t xml:space="preserve">MURMURA — PLAN DE TRÉSORERIE ANNÉE 1 (2026)</t>
  </si>
  <si>
    <t xml:space="preserve">POSTES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</si>
  <si>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</si>
  <si>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</si>
  <si>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</si>
  <si>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</si>
  <si>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</si>
  <si>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</si>
  <si>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</si>
  <si>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</si>
  <si>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</si>
  <si>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</si>
  <si>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</si>
  <si>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</si>
  <si>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TOTAL AN 1</t>
  </si>
  <si>
    <t xml:space="preserve">  ENCAISSEMENTS</t>
  </si>
  <si>
    <t xml:space="preserve">Financement initial (IJE-UniPod + apports)</t>
  </si>
  <si>
    <t xml:space="preserve">A — TOTAL ENCAISSEMENTS</t>
  </si>
  <si>
    <t xml:space="preserve">  DÉCAISSEMENTS</t>
  </si>
  <si>
    <t xml:space="preserve">Salaires (équipe)</t>
  </si>
  <si>
    <t xml:space="preserve">Marketing &amp; Acquisition clients</t>
  </si>
  <si>
    <t xml:space="preserve">Investissements &amp; Équipements</t>
  </si>
  <si>
    <t xml:space="preserve">Divers &amp; Imprévus</t>
  </si>
  <si>
    <t xml:space="preserve">B — TOTAL DÉCAISSEMENTS</t>
  </si>
  <si>
    <t xml:space="preserve">C — EXCÉDENT / DÉFICIT DU MOIS (A-B)</t>
  </si>
  <si>
    <t xml:space="preserve">D — ENCAISSE D'OUVERTURE</t>
  </si>
  <si>
    <t xml:space="preserve">E — ENCAISSE DE FERMETURE (C+D) = TRÉSORERIE</t>
  </si>
  <si>
    <t xml:space="preserve">MURMURA — PLAN FINANCIER PRÉVISIONNEL 2026-2028</t>
  </si>
  <si>
    <t xml:space="preserve">Programme Pré-Incubateur CEF Lomé | IJE-UniPod | Mars 2026</t>
  </si>
  <si>
    <t xml:space="preserve">  A. HYPOTHÈSES DE PRIX &amp; ABONNEMENTS</t>
  </si>
  <si>
    <t xml:space="preserve">Paramètre</t>
  </si>
  <si>
    <t xml:space="preserve">Valeur An 1</t>
  </si>
  <si>
    <t xml:space="preserve">Valeur An 2</t>
  </si>
  <si>
    <t xml:space="preserve">Valeur An 3</t>
  </si>
  <si>
    <t xml:space="preserve">Notes</t>
  </si>
  <si>
    <t xml:space="preserve">Prix abonnement Premium (B2C)/mois</t>
  </si>
  <si>
    <t xml:space="preserve">FCFA/utilisateur/mois</t>
  </si>
  <si>
    <t xml:space="preserve">Prix abonnement Business (B2B)/mois</t>
  </si>
  <si>
    <t xml:space="preserve">FCFA/organisation/mois</t>
  </si>
  <si>
    <t xml:space="preserve">Prix API/White-label/mois</t>
  </si>
  <si>
    <t xml:space="preserve">FCFA — disponible An 2</t>
  </si>
  <si>
    <t xml:space="preserve">Utilisateurs Premium actifs (fin d'année)</t>
  </si>
  <si>
    <t xml:space="preserve">Croissance organique + paid</t>
  </si>
  <si>
    <t xml:space="preserve">Clients Business actifs (fin d'année)</t>
  </si>
  <si>
    <t xml:space="preserve">PME &amp; corporates</t>
  </si>
  <si>
    <t xml:space="preserve">Taux de croissance mensuel moyen</t>
  </si>
  <si>
    <t xml:space="preserve">12%</t>
  </si>
  <si>
    <t xml:space="preserve">8%</t>
  </si>
  <si>
    <t xml:space="preserve">5%</t>
  </si>
  <si>
    <t xml:space="preserve">Décélération naturelle</t>
  </si>
  <si>
    <t xml:space="preserve">Taux de churn mensuel</t>
  </si>
  <si>
    <t xml:space="preserve">3%</t>
  </si>
  <si>
    <t xml:space="preserve">2%</t>
  </si>
  <si>
    <t xml:space="preserve">1.5%</t>
  </si>
  <si>
    <t xml:space="preserve">Amélioration par rétention</t>
  </si>
  <si>
    <t xml:space="preserve">  B. HYPOTHÈSES DE CHARGES MENSUELLES (FCFA)</t>
  </si>
  <si>
    <t xml:space="preserve">Poste de charge</t>
  </si>
  <si>
    <t xml:space="preserve">An 1 (moy/mois)</t>
  </si>
  <si>
    <t xml:space="preserve">An 2 (moy/mois)</t>
  </si>
  <si>
    <t xml:space="preserve">An 3 (moy/mois)</t>
  </si>
  <si>
    <t xml:space="preserve">Type</t>
  </si>
  <si>
    <t xml:space="preserve">Salaires (5→8→12 personnes)</t>
  </si>
  <si>
    <t xml:space="preserve">Fixe</t>
  </si>
  <si>
    <t xml:space="preserve">Hébergement Cloud AWS/GCP</t>
  </si>
  <si>
    <t xml:space="preserve">Variable (usage)</t>
  </si>
  <si>
    <t xml:space="preserve">APIs Intelligence Artificielle</t>
  </si>
  <si>
    <t xml:space="preserve">Services tiers (Firebase, etc.)</t>
  </si>
  <si>
    <t xml:space="preserve">Variable</t>
  </si>
  <si>
    <t xml:space="preserve">Fixe/Variable</t>
  </si>
  <si>
    <t xml:space="preserve">Loyer &amp; Co-working</t>
  </si>
  <si>
    <t xml:space="preserve">Télécom &amp; Internet</t>
  </si>
  <si>
    <t xml:space="preserve">Frais divers &amp; imprévus</t>
  </si>
  <si>
    <t xml:space="preserve">TOTAL CHARGES MENSUELLES</t>
  </si>
  <si>
    <t xml:space="preserve">  C. INVESTISSEMENTS INITIAUX</t>
  </si>
  <si>
    <t xml:space="preserve">Élément</t>
  </si>
  <si>
    <t xml:space="preserve">Quantité</t>
  </si>
  <si>
    <t xml:space="preserve">Prix Unitaire (FCFA)</t>
  </si>
  <si>
    <t xml:space="preserve">Montant Total (FCFA)</t>
  </si>
  <si>
    <t xml:space="preserve">Amortissement</t>
  </si>
  <si>
    <t xml:space="preserve">Ordinateurs portables dev (i7, 16Go)</t>
  </si>
  <si>
    <t xml:space="preserve">3 ans</t>
  </si>
  <si>
    <t xml:space="preserve">Serveur NAS / Stockage local</t>
  </si>
  <si>
    <t xml:space="preserve">5 ans</t>
  </si>
  <si>
    <t xml:space="preserve">Écrans 24" Full HD</t>
  </si>
  <si>
    <t xml:space="preserve">Mobilier bureau</t>
  </si>
  <si>
    <t xml:space="preserve">Infrastructure cloud initiale (setup)</t>
  </si>
  <si>
    <t xml:space="preserve">1 an</t>
  </si>
  <si>
    <t xml:space="preserve">Licences logicielles &amp; APIs (An 1)</t>
  </si>
  <si>
    <t xml:space="preserve">Frais de constitution SARL</t>
  </si>
  <si>
    <t xml:space="preserve">TOTAL INVESTISSEMENTS</t>
  </si>
  <si>
    <t xml:space="preserve">  D. PLAN DE FINANCEMENT</t>
  </si>
  <si>
    <t xml:space="preserve">Source</t>
  </si>
  <si>
    <t xml:space="preserve">Montant (FCFA)</t>
  </si>
  <si>
    <t xml:space="preserve">% du total</t>
  </si>
  <si>
    <t xml:space="preserve">Apport personnel (numéraire)</t>
  </si>
  <si>
    <t xml:space="preserve">Apport en nature (équipements)</t>
  </si>
  <si>
    <t xml:space="preserve">Crédit/Subvention IJE-UniPod</t>
  </si>
  <si>
    <t xml:space="preserve">TOTAL FINANCEMENT</t>
  </si>
  <si>
    <t xml:space="preserve">MURMURA — RÉSUMÉ EXÉCUTIF FINANCIER</t>
  </si>
  <si>
    <t xml:space="preserve">Messagerie Augmentée par l'IA | Lomé, Togo | Projet: 7 700 000 FCFA | Financement sollicité: 4 700 000 FCFA</t>
  </si>
  <si>
    <t xml:space="preserve">INDICATEUR CLÉ</t>
  </si>
  <si>
    <t xml:space="preserve">ANNÉE 1 — 2026</t>
  </si>
  <si>
    <t xml:space="preserve">ANNÉE 2 — 2027</t>
  </si>
  <si>
    <t xml:space="preserve">ANNÉE 3 — 2028</t>
  </si>
  <si>
    <t xml:space="preserve">Chiffre d'affaires</t>
  </si>
  <si>
    <t xml:space="preserve">Croissance CA</t>
  </si>
  <si>
    <t xml:space="preserve">—</t>
  </si>
  <si>
    <t xml:space="preserve">678%</t>
  </si>
  <si>
    <t xml:space="preserve">200%</t>
  </si>
  <si>
    <t xml:space="preserve">Marge brute</t>
  </si>
  <si>
    <t xml:space="preserve">74,4%</t>
  </si>
  <si>
    <t xml:space="preserve">88,6%</t>
  </si>
  <si>
    <t xml:space="preserve">91,4%</t>
  </si>
  <si>
    <t xml:space="preserve">Charges d'exploitation totales</t>
  </si>
  <si>
    <t xml:space="preserve">Résultat net</t>
  </si>
  <si>
    <t xml:space="preserve">21,0%</t>
  </si>
  <si>
    <t xml:space="preserve">50,1%</t>
  </si>
  <si>
    <t xml:space="preserve">Utilisateurs actifs payants</t>
  </si>
  <si>
    <t xml:space="preserve">Clients Business (B2B)</t>
  </si>
  <si>
    <t xml:space="preserve">Emplois créés (directs)</t>
  </si>
  <si>
    <t xml:space="preserve">Trésorerie de fin d'année</t>
  </si>
  <si>
    <t xml:space="preserve">⚠️  Note: Le déficit de l'An 1 est structurel (phase d'amorçage). La rentabilité opérationnelle est attendue au cours du 7e mois d'exploitation.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</si>
</sst>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FCFA&quot;;\(#,##0&quot; FCFA)&quot;;\-"/>
    <numFmt numFmtId="166" formatCode="0.0%"/>
    <numFmt numFmtId="167" formatCode="#,##0.0"/>
    <numFmt numFmtId="168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9"/>
      <color rgb="FF7D3C9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0D7377"/>
        <bgColor rgb="FF008080"/>
      </patternFill>
    </fill>
    <fill>
      <patternFill patternType="solid">
        <fgColor rgb="FFD6EAF8"/>
        <bgColor rgb="FFD1F2EB"/>
      </patternFill>
    </fill>
    <fill>
      <patternFill patternType="solid">
        <fgColor rgb="FFEBF5FB"/>
        <bgColor rgb="FFF2F2F2"/>
      </patternFill>
    </fill>
    <fill>
      <patternFill patternType="solid">
        <fgColor rgb="FFD1F2EB"/>
        <bgColor rgb="FFD6EAF8"/>
      </patternFill>
    </fill>
    <fill>
      <patternFill patternType="solid">
        <fgColor rgb="FFFFF9C4"/>
        <bgColor rgb="FFF2F2F2"/>
      </patternFill>
    </fill>
    <fill>
      <patternFill patternType="solid">
        <fgColor rgb="FFFFFFFF"/>
        <bgColor rgb="FFF8F9FA"/>
      </patternFill>
    </fill>
    <fill>
      <patternFill patternType="solid">
        <fgColor rgb="FFFAD7A0"/>
        <bgColor rgb="FFFADBD8"/>
      </patternFill>
    </fill>
    <fill>
      <patternFill patternType="solid">
        <fgColor rgb="FFFADBD8"/>
        <bgColor rgb="FFFAD7A0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5FB"/>
      </patternFill>
    </fill>
    <fill>
      <patternFill patternType="solid">
        <fgColor rgb="FFF8F9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D7377"/>
      <rgbColor rgb="FFCCCCCC"/>
      <rgbColor rgb="FF808080"/>
      <rgbColor rgb="FF9999FF"/>
      <rgbColor rgb="FF7D3C98"/>
      <rgbColor rgb="FFFFF9C4"/>
      <rgbColor rgb="FFD1F2EB"/>
      <rgbColor rgb="FF660066"/>
      <rgbColor rgb="FFFF8080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BF5FB"/>
      <rgbColor rgb="FFF2F2F2"/>
      <rgbColor rgb="FFF8F9FA"/>
      <rgbColor rgb="FFFF99CC"/>
      <rgbColor rgb="FFCC99FF"/>
      <rgbColor rgb="FFFAD7A0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A3C5E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/>
      <c r="C3" s="4"/>
      <c r="D3" s="4"/>
    </row>
    <row r="4" customFormat="false" ht="15" hidden="false" customHeight="false" outlineLevel="0" collapsed="false">
      <c r="A4" s="5" t="s">
        <v>6</v>
      </c>
      <c r="B4" s="6" t="n">
        <v>5400000</v>
      </c>
      <c r="C4" s="6" t="n">
        <v>42000000</v>
      </c>
      <c r="D4" s="6" t="n">
        <v>126000000</v>
      </c>
    </row>
    <row r="5" customFormat="false" ht="15" hidden="false" customHeight="false" outlineLevel="0" collapsed="false">
      <c r="A5" s="7" t="s">
        <v>7</v>
      </c>
      <c r="B5" s="8" t="n">
        <v>11520000</v>
      </c>
      <c r="C5" s="8" t="n">
        <v>19800000</v>
      </c>
      <c r="D5" s="8" t="n">
        <v>27300000</v>
      </c>
    </row>
    <row r="6" customFormat="false" ht="15" hidden="false" customHeight="false" outlineLevel="0" collapsed="false">
      <c r="A6" s="7" t="s">
        <v>8</v>
      </c>
      <c r="B6" s="8" t="n">
        <v>3960000</v>
      </c>
      <c r="C6" s="8" t="n">
        <v>10560000</v>
      </c>
      <c r="D6" s="8" t="n">
        <v>19200000</v>
      </c>
    </row>
    <row r="7" customFormat="false" ht="15" hidden="false" customHeight="false" outlineLevel="0" collapsed="false">
      <c r="A7" s="9" t="s">
        <v>9</v>
      </c>
      <c r="B7" s="10" t="n">
        <f aca="false">1-B6/'5. Rentabilité &amp; Ratios'!B5</f>
        <v>0.65625</v>
      </c>
      <c r="C7" s="10" t="n">
        <f aca="false">1-C6/'5. Rentabilité &amp; Ratios'!C5</f>
        <v>0.466666666666667</v>
      </c>
      <c r="D7" s="10" t="n">
        <f aca="false">1-D6/'5. Rentabilité &amp; Ratios'!D5</f>
        <v>0.296703296703297</v>
      </c>
    </row>
    <row r="8" customFormat="false" ht="15" hidden="false" customHeight="false" outlineLevel="0" collapsed="false">
      <c r="A8" s="11" t="s">
        <v>10</v>
      </c>
      <c r="B8" s="12" t="n">
        <f aca="false">B5/(1-B6/B4)</f>
        <v>43200000</v>
      </c>
      <c r="C8" s="12" t="n">
        <f aca="false">C5/(1-C6/C4)</f>
        <v>26450381.6793893</v>
      </c>
      <c r="D8" s="12" t="n">
        <f aca="false">D5/(1-D6/D4)</f>
        <v>32207865.1685393</v>
      </c>
    </row>
    <row r="9" customFormat="false" ht="15" hidden="false" customHeight="false" outlineLevel="0" collapsed="false">
      <c r="A9" s="11" t="s">
        <v>11</v>
      </c>
      <c r="B9" s="13" t="n">
        <f aca="false">B8/B4*12</f>
        <v>96</v>
      </c>
      <c r="C9" s="13" t="n">
        <f aca="false">C8/C4*12</f>
        <v>7.55725190839695</v>
      </c>
      <c r="D9" s="13" t="n">
        <f aca="false">D8/D4*12</f>
        <v>3.06741573033708</v>
      </c>
    </row>
    <row r="10" customFormat="false" ht="15" hidden="false" customHeight="false" outlineLevel="0" collapsed="false">
      <c r="A10" s="14" t="s">
        <v>12</v>
      </c>
      <c r="B10" s="15" t="n">
        <f aca="false">ROUND(B8/2000/12,0)</f>
        <v>1800</v>
      </c>
      <c r="C10" s="15" t="n">
        <f aca="false">ROUND(C8/2000/12,0)</f>
        <v>1102</v>
      </c>
      <c r="D10" s="15" t="n">
        <f aca="false">ROUND(D8/2000/12,0)</f>
        <v>1342</v>
      </c>
    </row>
    <row r="12" customFormat="false" ht="15" hidden="false" customHeight="false" outlineLevel="0" collapsed="false">
      <c r="A12" s="3" t="s">
        <v>13</v>
      </c>
      <c r="B12" s="4"/>
      <c r="C12" s="4"/>
      <c r="D12" s="4"/>
    </row>
    <row r="13" customFormat="false" ht="15" hidden="false" customHeight="false" outlineLevel="0" collapsed="false">
      <c r="A13" s="7" t="s">
        <v>14</v>
      </c>
      <c r="B13" s="16" t="s">
        <v>15</v>
      </c>
      <c r="C13" s="17" t="n">
        <f aca="false">('3. Compte de Résultat'!C7-'3. Compte de Résultat'!B7)/'3. Compte de Résultat'!B7</f>
        <v>6.77777777777778</v>
      </c>
      <c r="D13" s="17" t="n">
        <f aca="false">('3. Compte de Résultat'!D7-'3. Compte de Résultat'!C7)/'3. Compte de Résultat'!C7</f>
        <v>2</v>
      </c>
    </row>
    <row r="14" customFormat="false" ht="15" hidden="false" customHeight="false" outlineLevel="0" collapsed="false">
      <c r="A14" s="18" t="s">
        <v>16</v>
      </c>
      <c r="B14" s="19" t="n">
        <f aca="false">'3. Compte de Résultat'!B13/'3. Compte de Résultat'!B7</f>
        <v>0</v>
      </c>
      <c r="C14" s="19" t="n">
        <f aca="false">'3. Compte de Résultat'!C13/'3. Compte de Résultat'!C7</f>
        <v>0</v>
      </c>
      <c r="D14" s="19" t="n">
        <f aca="false">'3. Compte de Résultat'!D13/'3. Compte de Résultat'!D7</f>
        <v>0</v>
      </c>
    </row>
    <row r="15" customFormat="false" ht="15" hidden="false" customHeight="false" outlineLevel="0" collapsed="false">
      <c r="A15" s="7" t="s">
        <v>17</v>
      </c>
      <c r="B15" s="17" t="n">
        <f aca="false">IF('3. Compte de Résultat'!B7&gt;0,'3. Compte de Résultat'!B38/'3. Compte de Résultat'!B7,"N/A")</f>
        <v>0</v>
      </c>
      <c r="C15" s="17" t="n">
        <f aca="false">'3. Compte de Résultat'!C38/'3. Compte de Résultat'!C7</f>
        <v>0</v>
      </c>
      <c r="D15" s="17" t="n">
        <f aca="false">'3. Compte de Résultat'!D38/'3. Compte de Résultat'!D7</f>
        <v>0</v>
      </c>
    </row>
    <row r="16" customFormat="false" ht="15" hidden="false" customHeight="false" outlineLevel="0" collapsed="false">
      <c r="A16" s="18" t="s">
        <v>18</v>
      </c>
      <c r="B16" s="20" t="n">
        <f aca="false">'3. Compte de Résultat'!B31+'3. Compte de Résultat'!B29</f>
        <v>168000</v>
      </c>
      <c r="C16" s="20" t="n">
        <f aca="false">'3. Compte de Résultat'!C31+'3. Compte de Résultat'!C29</f>
        <v>168000</v>
      </c>
      <c r="D16" s="20" t="n">
        <f aca="false">'3. Compte de Résultat'!D31+'3. Compte de Résultat'!D29</f>
        <v>168000</v>
      </c>
    </row>
    <row r="17" customFormat="false" ht="15" hidden="false" customHeight="false" outlineLevel="0" collapsed="false">
      <c r="A17" s="7" t="s">
        <v>19</v>
      </c>
      <c r="B17" s="16" t="s">
        <v>15</v>
      </c>
      <c r="C17" s="17" t="n">
        <f aca="false">('3. Compte de Résultat'!C38/'1. Hypothèses'!B40)</f>
        <v>0</v>
      </c>
      <c r="D17" s="17" t="n">
        <f aca="false">('3. Compte de Résultat'!D38/'1. Hypothèses'!B40)</f>
        <v>0</v>
      </c>
    </row>
    <row r="18" customFormat="false" ht="15" hidden="false" customHeight="false" outlineLevel="0" collapsed="false">
      <c r="A18" s="18" t="s">
        <v>20</v>
      </c>
      <c r="B18" s="21" t="s">
        <v>21</v>
      </c>
      <c r="C18" s="21"/>
      <c r="D18" s="21"/>
    </row>
    <row r="19" customFormat="false" ht="15" hidden="false" customHeight="false" outlineLevel="0" collapsed="false">
      <c r="A19" s="7" t="s">
        <v>22</v>
      </c>
      <c r="B19" s="16" t="s">
        <v>23</v>
      </c>
      <c r="C19" s="16"/>
      <c r="D19" s="16"/>
    </row>
    <row r="20" customFormat="false" ht="15" hidden="false" customHeight="false" outlineLevel="0" collapsed="false">
      <c r="A20" s="18" t="s">
        <v>24</v>
      </c>
      <c r="B20" s="21" t="s">
        <v>25</v>
      </c>
      <c r="C20" s="21"/>
      <c r="D20" s="21"/>
    </row>
    <row r="21" customFormat="false" ht="15" hidden="false" customHeight="false" outlineLevel="0" collapsed="false">
      <c r="A21" s="7" t="s">
        <v>26</v>
      </c>
      <c r="B21" s="16" t="s">
        <v>27</v>
      </c>
      <c r="C21" s="16"/>
      <c r="D21" s="16"/>
    </row>
  </sheetData>
  <mergeCells count="3">
    <mergeCell ref="A1:D1"/>
    <mergeCell ref="B3:D3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5" min="5" style="0" width="8"/>
  </cols>
  <sheetData>
    <row r="1" customFormat="false" ht="36" hidden="false" customHeight="true" outlineLevel="0" collapsed="false">
      <c r="A1" s="1" t="s">
        <v>28</v>
      </c>
      <c r="B1" s="1"/>
      <c r="C1" s="1"/>
      <c r="D1" s="1"/>
    </row>
    <row r="2" customFormat="false" ht="15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</row>
    <row r="3" customFormat="false" ht="15" hidden="false" customHeight="false" outlineLevel="0" collapsed="false">
      <c r="A3" s="22" t="s">
        <v>33</v>
      </c>
      <c r="B3" s="23"/>
      <c r="C3" s="23"/>
      <c r="D3" s="23"/>
    </row>
    <row r="4" customFormat="false" ht="15" hidden="false" customHeight="false" outlineLevel="0" collapsed="false">
      <c r="A4" s="24" t="s">
        <v>34</v>
      </c>
      <c r="B4" s="25"/>
      <c r="C4" s="25"/>
      <c r="D4" s="25"/>
    </row>
    <row r="5" customFormat="false" ht="15" hidden="false" customHeight="false" outlineLevel="0" collapsed="false">
      <c r="A5" s="26" t="s">
        <v>35</v>
      </c>
      <c r="B5" s="27" t="n">
        <v>1000000</v>
      </c>
      <c r="C5" s="27" t="n">
        <v>300000</v>
      </c>
      <c r="D5" s="27" t="n">
        <v>0</v>
      </c>
    </row>
    <row r="6" customFormat="false" ht="15" hidden="false" customHeight="false" outlineLevel="0" collapsed="false">
      <c r="A6" s="26" t="s">
        <v>36</v>
      </c>
      <c r="B6" s="27" t="n">
        <v>1700000</v>
      </c>
      <c r="C6" s="27" t="n">
        <v>1200000</v>
      </c>
      <c r="D6" s="27" t="n">
        <v>800000</v>
      </c>
    </row>
    <row r="7" customFormat="false" ht="15" hidden="false" customHeight="false" outlineLevel="0" collapsed="false">
      <c r="A7" s="26" t="s">
        <v>37</v>
      </c>
      <c r="B7" s="27" t="n">
        <v>0</v>
      </c>
      <c r="C7" s="27" t="n">
        <v>0</v>
      </c>
      <c r="D7" s="27" t="n">
        <v>0</v>
      </c>
    </row>
    <row r="8" customFormat="false" ht="15" hidden="false" customHeight="false" outlineLevel="0" collapsed="false">
      <c r="A8" s="28" t="s">
        <v>38</v>
      </c>
      <c r="B8" s="29" t="n">
        <f aca="false">SUM(B4:B6)</f>
        <v>2700000</v>
      </c>
      <c r="C8" s="29" t="n">
        <f aca="false">SUM(C4:C6)</f>
        <v>1500000</v>
      </c>
      <c r="D8" s="29" t="n">
        <f aca="false">SUM(D4:D6)</f>
        <v>800000</v>
      </c>
    </row>
    <row r="9" customFormat="false" ht="15" hidden="false" customHeight="false" outlineLevel="0" collapsed="false">
      <c r="A9" s="24" t="s">
        <v>39</v>
      </c>
      <c r="B9" s="25"/>
      <c r="C9" s="25"/>
      <c r="D9" s="25"/>
    </row>
    <row r="10" customFormat="false" ht="15" hidden="false" customHeight="false" outlineLevel="0" collapsed="false">
      <c r="A10" s="26" t="s">
        <v>40</v>
      </c>
      <c r="B10" s="27" t="n">
        <v>0</v>
      </c>
      <c r="C10" s="27" t="n">
        <v>450000</v>
      </c>
      <c r="D10" s="27" t="n">
        <v>3500000</v>
      </c>
    </row>
    <row r="11" customFormat="false" ht="15" hidden="false" customHeight="false" outlineLevel="0" collapsed="false">
      <c r="A11" s="26" t="s">
        <v>41</v>
      </c>
      <c r="B11" s="27" t="n">
        <v>7700000</v>
      </c>
      <c r="C11" s="27" t="n">
        <v>2300000</v>
      </c>
      <c r="D11" s="27" t="n">
        <v>12500000</v>
      </c>
    </row>
    <row r="12" customFormat="false" ht="15" hidden="false" customHeight="false" outlineLevel="0" collapsed="false">
      <c r="A12" s="26" t="s">
        <v>42</v>
      </c>
      <c r="B12" s="27" t="n">
        <v>0</v>
      </c>
      <c r="C12" s="27" t="n">
        <v>200000</v>
      </c>
      <c r="D12" s="27" t="n">
        <v>500000</v>
      </c>
    </row>
    <row r="13" customFormat="false" ht="15" hidden="false" customHeight="false" outlineLevel="0" collapsed="false">
      <c r="A13" s="28" t="s">
        <v>43</v>
      </c>
      <c r="B13" s="29" t="n">
        <f aca="false">SUM(B9:B11)</f>
        <v>7700000</v>
      </c>
      <c r="C13" s="29" t="n">
        <f aca="false">SUM(C9:C11)</f>
        <v>2750000</v>
      </c>
      <c r="D13" s="29" t="n">
        <f aca="false">SUM(D9:D11)</f>
        <v>16000000</v>
      </c>
    </row>
    <row r="14" customFormat="false" ht="15" hidden="false" customHeight="false" outlineLevel="0" collapsed="false">
      <c r="A14" s="22" t="s">
        <v>44</v>
      </c>
      <c r="B14" s="30" t="n">
        <f aca="false">B7+B12</f>
        <v>0</v>
      </c>
      <c r="C14" s="30" t="n">
        <f aca="false">C7+C12</f>
        <v>200000</v>
      </c>
      <c r="D14" s="30" t="n">
        <f aca="false">D7+D12</f>
        <v>500000</v>
      </c>
    </row>
    <row r="15" customFormat="false" ht="15" hidden="false" customHeight="false" outlineLevel="0" collapsed="false">
      <c r="A15" s="31"/>
      <c r="B15" s="32"/>
      <c r="C15" s="32"/>
      <c r="D15" s="32"/>
    </row>
    <row r="16" customFormat="false" ht="15" hidden="false" customHeight="false" outlineLevel="0" collapsed="false">
      <c r="A16" s="22" t="s">
        <v>45</v>
      </c>
      <c r="B16" s="23"/>
      <c r="C16" s="23"/>
      <c r="D16" s="23"/>
    </row>
    <row r="17" customFormat="false" ht="15" hidden="false" customHeight="false" outlineLevel="0" collapsed="false">
      <c r="A17" s="24" t="s">
        <v>46</v>
      </c>
      <c r="B17" s="25"/>
      <c r="C17" s="25"/>
      <c r="D17" s="25"/>
    </row>
    <row r="18" customFormat="false" ht="15" hidden="false" customHeight="false" outlineLevel="0" collapsed="false">
      <c r="A18" s="26" t="s">
        <v>47</v>
      </c>
      <c r="B18" s="27" t="n">
        <v>3000000</v>
      </c>
      <c r="C18" s="27" t="n">
        <v>3000000</v>
      </c>
      <c r="D18" s="27" t="n">
        <v>3000000</v>
      </c>
    </row>
    <row r="19" customFormat="false" ht="15" hidden="false" customHeight="false" outlineLevel="0" collapsed="false">
      <c r="A19" s="26" t="s">
        <v>48</v>
      </c>
      <c r="B19" s="27" t="n">
        <v>0</v>
      </c>
      <c r="C19" s="27" t="n">
        <v>-8282000</v>
      </c>
      <c r="D19" s="27" t="n">
        <v>8814000</v>
      </c>
    </row>
    <row r="20" customFormat="false" ht="15" hidden="false" customHeight="false" outlineLevel="0" collapsed="false">
      <c r="A20" s="26" t="s">
        <v>49</v>
      </c>
      <c r="B20" s="27" t="n">
        <v>0</v>
      </c>
      <c r="C20" s="27" t="n">
        <v>0</v>
      </c>
      <c r="D20" s="27" t="n">
        <v>-8282000</v>
      </c>
    </row>
    <row r="21" customFormat="false" ht="15" hidden="false" customHeight="false" outlineLevel="0" collapsed="false">
      <c r="A21" s="33" t="s">
        <v>50</v>
      </c>
      <c r="B21" s="34" t="n">
        <f aca="false">SUM(B16:B18)</f>
        <v>3000000</v>
      </c>
      <c r="C21" s="34" t="n">
        <f aca="false">SUM(C16:C18)</f>
        <v>3000000</v>
      </c>
      <c r="D21" s="34" t="n">
        <f aca="false">SUM(D16:D18)</f>
        <v>3000000</v>
      </c>
    </row>
    <row r="22" customFormat="false" ht="15" hidden="false" customHeight="false" outlineLevel="0" collapsed="false">
      <c r="A22" s="24" t="s">
        <v>51</v>
      </c>
      <c r="B22" s="25"/>
      <c r="C22" s="25"/>
      <c r="D22" s="25"/>
    </row>
    <row r="23" customFormat="false" ht="15" hidden="false" customHeight="false" outlineLevel="0" collapsed="false">
      <c r="A23" s="26" t="s">
        <v>52</v>
      </c>
      <c r="B23" s="27" t="n">
        <v>4700000</v>
      </c>
      <c r="C23" s="27" t="n">
        <v>3130000</v>
      </c>
      <c r="D23" s="27" t="n">
        <v>1560000</v>
      </c>
    </row>
    <row r="24" customFormat="false" ht="15" hidden="false" customHeight="false" outlineLevel="0" collapsed="false">
      <c r="A24" s="26" t="s">
        <v>53</v>
      </c>
      <c r="B24" s="27" t="n">
        <v>0</v>
      </c>
      <c r="C24" s="27" t="n">
        <v>500000</v>
      </c>
      <c r="D24" s="27" t="n">
        <v>800000</v>
      </c>
    </row>
    <row r="25" customFormat="false" ht="15" hidden="false" customHeight="false" outlineLevel="0" collapsed="false">
      <c r="A25" s="26" t="s">
        <v>54</v>
      </c>
      <c r="B25" s="27" t="n">
        <v>0</v>
      </c>
      <c r="C25" s="27" t="n">
        <v>800000</v>
      </c>
      <c r="D25" s="27" t="n">
        <v>1200000</v>
      </c>
    </row>
    <row r="26" customFormat="false" ht="15" hidden="false" customHeight="false" outlineLevel="0" collapsed="false">
      <c r="A26" s="35" t="s">
        <v>55</v>
      </c>
      <c r="B26" s="36" t="n">
        <f aca="false">SUM(B21:B23)</f>
        <v>7700000</v>
      </c>
      <c r="C26" s="36" t="n">
        <f aca="false">SUM(C21:C23)</f>
        <v>6130000</v>
      </c>
      <c r="D26" s="36" t="n">
        <f aca="false">SUM(D21:D23)</f>
        <v>4560000</v>
      </c>
    </row>
    <row r="27" customFormat="false" ht="15" hidden="false" customHeight="false" outlineLevel="0" collapsed="false">
      <c r="A27" s="22" t="s">
        <v>56</v>
      </c>
      <c r="B27" s="30" t="n">
        <f aca="false">B19+B24</f>
        <v>0</v>
      </c>
      <c r="C27" s="30" t="n">
        <f aca="false">C19+C24</f>
        <v>-7782000</v>
      </c>
      <c r="D27" s="30" t="n">
        <f aca="false">D19+D24</f>
        <v>9614000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</cols>
  <sheetData>
    <row r="1" customFormat="false" ht="36" hidden="false" customHeight="true" outlineLevel="0" collapsed="false">
      <c r="A1" s="1" t="s">
        <v>57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</row>
    <row r="3" customFormat="false" ht="15" hidden="false" customHeight="false" outlineLevel="0" collapsed="false">
      <c r="A3" s="37" t="s">
        <v>63</v>
      </c>
      <c r="B3" s="38"/>
      <c r="C3" s="38"/>
      <c r="D3" s="38"/>
      <c r="E3" s="32"/>
    </row>
    <row r="4" customFormat="false" ht="15" hidden="false" customHeight="false" outlineLevel="0" collapsed="false">
      <c r="A4" s="39" t="s">
        <v>64</v>
      </c>
      <c r="B4" s="40" t="n">
        <v>3600000</v>
      </c>
      <c r="C4" s="40" t="n">
        <v>24000000</v>
      </c>
      <c r="D4" s="40" t="n">
        <v>72000000</v>
      </c>
      <c r="E4" s="41" t="n">
        <f aca="false">IF(ABS(B4)&gt;0,(C4-B4)/ABS(B4),0)</f>
        <v>5.66666666666667</v>
      </c>
    </row>
    <row r="5" customFormat="false" ht="15" hidden="false" customHeight="false" outlineLevel="0" collapsed="false">
      <c r="A5" s="39" t="s">
        <v>65</v>
      </c>
      <c r="B5" s="40" t="n">
        <v>1800000</v>
      </c>
      <c r="C5" s="40" t="n">
        <v>12000000</v>
      </c>
      <c r="D5" s="40" t="n">
        <v>36000000</v>
      </c>
      <c r="E5" s="41" t="n">
        <f aca="false">IF(ABS(B5)&gt;0,(C5-B5)/ABS(B5),0)</f>
        <v>5.66666666666667</v>
      </c>
    </row>
    <row r="6" customFormat="false" ht="15" hidden="false" customHeight="false" outlineLevel="0" collapsed="false">
      <c r="A6" s="39" t="s">
        <v>66</v>
      </c>
      <c r="B6" s="40" t="n">
        <v>0</v>
      </c>
      <c r="C6" s="40" t="n">
        <v>6000000</v>
      </c>
      <c r="D6" s="40" t="n">
        <v>18000000</v>
      </c>
      <c r="E6" s="42"/>
    </row>
    <row r="7" customFormat="false" ht="15" hidden="false" customHeight="false" outlineLevel="0" collapsed="false">
      <c r="A7" s="43" t="s">
        <v>67</v>
      </c>
      <c r="B7" s="44" t="n">
        <f aca="false">B4+B5+B6</f>
        <v>5400000</v>
      </c>
      <c r="C7" s="44" t="n">
        <f aca="false">C4+C5+C6</f>
        <v>42000000</v>
      </c>
      <c r="D7" s="44" t="n">
        <f aca="false">D4+D5+D6</f>
        <v>126000000</v>
      </c>
      <c r="E7" s="32"/>
    </row>
    <row r="8" customFormat="false" ht="15" hidden="false" customHeight="false" outlineLevel="0" collapsed="false">
      <c r="A8" s="31"/>
      <c r="B8" s="32"/>
      <c r="C8" s="32"/>
      <c r="D8" s="32"/>
      <c r="E8" s="32"/>
    </row>
    <row r="9" customFormat="false" ht="15" hidden="false" customHeight="false" outlineLevel="0" collapsed="false">
      <c r="A9" s="37" t="s">
        <v>68</v>
      </c>
      <c r="B9" s="38"/>
      <c r="C9" s="38"/>
      <c r="D9" s="38"/>
      <c r="E9" s="32"/>
    </row>
    <row r="10" customFormat="false" ht="15" hidden="false" customHeight="false" outlineLevel="0" collapsed="false">
      <c r="A10" s="26" t="s">
        <v>69</v>
      </c>
      <c r="B10" s="27" t="n">
        <v>1380000</v>
      </c>
      <c r="C10" s="27" t="n">
        <v>4800000</v>
      </c>
      <c r="D10" s="27" t="n">
        <v>10800000</v>
      </c>
      <c r="E10" s="45" t="n">
        <f aca="false">IF(ABS(B10)&gt;0,(C10-B10)/ABS(B10),0)</f>
        <v>2.47826086956522</v>
      </c>
    </row>
    <row r="11" customFormat="false" ht="15" hidden="false" customHeight="false" outlineLevel="0" collapsed="false">
      <c r="A11" s="26" t="s">
        <v>70</v>
      </c>
      <c r="B11" s="27" t="n">
        <v>480000</v>
      </c>
      <c r="C11" s="27" t="n">
        <v>960000</v>
      </c>
      <c r="D11" s="27" t="n">
        <v>1440000</v>
      </c>
      <c r="E11" s="45" t="n">
        <f aca="false">IF(ABS(B11)&gt;0,(C11-B11)/ABS(B11),0)</f>
        <v>1</v>
      </c>
    </row>
    <row r="12" customFormat="false" ht="15" hidden="false" customHeight="false" outlineLevel="0" collapsed="false">
      <c r="A12" s="46" t="s">
        <v>71</v>
      </c>
      <c r="B12" s="47" t="n">
        <f aca="false">B9+B10</f>
        <v>1380000</v>
      </c>
      <c r="C12" s="47" t="n">
        <f aca="false">C9+C10</f>
        <v>4800000</v>
      </c>
      <c r="D12" s="47" t="n">
        <f aca="false">D9+D10</f>
        <v>10800000</v>
      </c>
      <c r="E12" s="32"/>
    </row>
    <row r="13" customFormat="false" ht="15" hidden="false" customHeight="false" outlineLevel="0" collapsed="false">
      <c r="A13" s="31"/>
      <c r="B13" s="32"/>
      <c r="C13" s="32"/>
      <c r="D13" s="32"/>
      <c r="E13" s="32"/>
    </row>
    <row r="14" customFormat="false" ht="15" hidden="false" customHeight="false" outlineLevel="0" collapsed="false">
      <c r="A14" s="43" t="s">
        <v>72</v>
      </c>
      <c r="B14" s="44" t="n">
        <f aca="false">B7-B11</f>
        <v>4920000</v>
      </c>
      <c r="C14" s="44" t="n">
        <f aca="false">C7-C11</f>
        <v>41040000</v>
      </c>
      <c r="D14" s="44" t="n">
        <f aca="false">D7-D11</f>
        <v>124560000</v>
      </c>
      <c r="E14" s="32"/>
    </row>
    <row r="15" customFormat="false" ht="15" hidden="false" customHeight="false" outlineLevel="0" collapsed="false">
      <c r="A15" s="43" t="s">
        <v>73</v>
      </c>
      <c r="B15" s="48" t="n">
        <f aca="false">B13/B7</f>
        <v>0</v>
      </c>
      <c r="C15" s="48" t="n">
        <f aca="false">C13/C7</f>
        <v>0</v>
      </c>
      <c r="D15" s="48" t="n">
        <f aca="false">D13/D7</f>
        <v>0</v>
      </c>
      <c r="E15" s="32"/>
    </row>
    <row r="16" customFormat="false" ht="15" hidden="false" customHeight="false" outlineLevel="0" collapsed="false">
      <c r="A16" s="31"/>
      <c r="B16" s="32"/>
      <c r="C16" s="32"/>
      <c r="D16" s="32"/>
      <c r="E16" s="32"/>
    </row>
    <row r="17" customFormat="false" ht="15" hidden="false" customHeight="false" outlineLevel="0" collapsed="false">
      <c r="A17" s="37" t="s">
        <v>74</v>
      </c>
      <c r="B17" s="38"/>
      <c r="C17" s="38"/>
      <c r="D17" s="38"/>
      <c r="E17" s="32"/>
    </row>
    <row r="18" customFormat="false" ht="15" hidden="false" customHeight="false" outlineLevel="0" collapsed="false">
      <c r="A18" s="26" t="s">
        <v>75</v>
      </c>
      <c r="B18" s="27" t="n">
        <v>8160000</v>
      </c>
      <c r="C18" s="27" t="n">
        <v>14400000</v>
      </c>
      <c r="D18" s="27" t="n">
        <v>21600000</v>
      </c>
      <c r="E18" s="45" t="n">
        <f aca="false">IF(ABS(B18)&gt;0,(C18-B18)/ABS(B18),0)</f>
        <v>0.764705882352941</v>
      </c>
    </row>
    <row r="19" customFormat="false" ht="15" hidden="false" customHeight="false" outlineLevel="0" collapsed="false">
      <c r="A19" s="26" t="s">
        <v>76</v>
      </c>
      <c r="B19" s="27" t="n">
        <v>1800000</v>
      </c>
      <c r="C19" s="27" t="n">
        <v>4200000</v>
      </c>
      <c r="D19" s="27" t="n">
        <v>6300000</v>
      </c>
      <c r="E19" s="45" t="n">
        <f aca="false">IF(ABS(B19)&gt;0,(C19-B19)/ABS(B19),0)</f>
        <v>1.33333333333333</v>
      </c>
    </row>
    <row r="20" customFormat="false" ht="15" hidden="false" customHeight="false" outlineLevel="0" collapsed="false">
      <c r="A20" s="26" t="s">
        <v>77</v>
      </c>
      <c r="B20" s="27" t="n">
        <v>1200000</v>
      </c>
      <c r="C20" s="27" t="n">
        <v>1800000</v>
      </c>
      <c r="D20" s="27" t="n">
        <v>2400000</v>
      </c>
      <c r="E20" s="45" t="n">
        <f aca="false">IF(ABS(B20)&gt;0,(C20-B20)/ABS(B20),0)</f>
        <v>0.5</v>
      </c>
    </row>
    <row r="21" customFormat="false" ht="15" hidden="false" customHeight="false" outlineLevel="0" collapsed="false">
      <c r="A21" s="26" t="s">
        <v>78</v>
      </c>
      <c r="B21" s="27" t="n">
        <v>360000</v>
      </c>
      <c r="C21" s="27" t="n">
        <v>480000</v>
      </c>
      <c r="D21" s="27" t="n">
        <v>600000</v>
      </c>
      <c r="E21" s="45" t="n">
        <f aca="false">IF(ABS(B21)&gt;0,(C21-B21)/ABS(B21),0)</f>
        <v>0.333333333333333</v>
      </c>
    </row>
    <row r="22" customFormat="false" ht="15" hidden="false" customHeight="false" outlineLevel="0" collapsed="false">
      <c r="A22" s="26" t="s">
        <v>79</v>
      </c>
      <c r="B22" s="27" t="n">
        <v>600000</v>
      </c>
      <c r="C22" s="27" t="n">
        <v>960000</v>
      </c>
      <c r="D22" s="27" t="n">
        <v>1200000</v>
      </c>
      <c r="E22" s="45" t="n">
        <f aca="false">IF(ABS(B22)&gt;0,(C22-B22)/ABS(B22),0)</f>
        <v>0.6</v>
      </c>
    </row>
    <row r="23" customFormat="false" ht="15" hidden="false" customHeight="false" outlineLevel="0" collapsed="false">
      <c r="A23" s="46" t="s">
        <v>80</v>
      </c>
      <c r="B23" s="47" t="n">
        <f aca="false">SUM(B17:B21)</f>
        <v>11520000</v>
      </c>
      <c r="C23" s="47" t="n">
        <f aca="false">SUM(C17:C21)</f>
        <v>20880000</v>
      </c>
      <c r="D23" s="47" t="n">
        <f aca="false">SUM(D17:D21)</f>
        <v>30900000</v>
      </c>
      <c r="E23" s="32"/>
    </row>
    <row r="24" customFormat="false" ht="15" hidden="false" customHeight="false" outlineLevel="0" collapsed="false">
      <c r="A24" s="31"/>
      <c r="B24" s="32"/>
      <c r="C24" s="32"/>
      <c r="D24" s="32"/>
      <c r="E24" s="32"/>
    </row>
    <row r="25" customFormat="false" ht="15" hidden="false" customHeight="false" outlineLevel="0" collapsed="false">
      <c r="A25" s="37" t="s">
        <v>81</v>
      </c>
      <c r="B25" s="38"/>
      <c r="C25" s="38"/>
      <c r="D25" s="38"/>
      <c r="E25" s="32"/>
    </row>
    <row r="26" customFormat="false" ht="15" hidden="false" customHeight="false" outlineLevel="0" collapsed="false">
      <c r="A26" s="26" t="s">
        <v>82</v>
      </c>
      <c r="B26" s="27" t="n">
        <v>350000</v>
      </c>
      <c r="C26" s="27" t="n">
        <v>350000</v>
      </c>
      <c r="D26" s="27" t="n">
        <v>350000</v>
      </c>
      <c r="E26" s="45" t="n">
        <f aca="false">IF(ABS(B26)&gt;0,(C26-B26)/ABS(B26),0)</f>
        <v>0</v>
      </c>
    </row>
    <row r="27" customFormat="false" ht="15" hidden="false" customHeight="false" outlineLevel="0" collapsed="false">
      <c r="A27" s="26" t="s">
        <v>83</v>
      </c>
      <c r="B27" s="27" t="n">
        <v>300000</v>
      </c>
      <c r="C27" s="27" t="n">
        <v>300000</v>
      </c>
      <c r="D27" s="27" t="n">
        <v>0</v>
      </c>
      <c r="E27" s="45" t="n">
        <f aca="false">IF(ABS(B27)&gt;0,(C27-B27)/ABS(B27),0)</f>
        <v>0</v>
      </c>
    </row>
    <row r="28" customFormat="false" ht="15" hidden="false" customHeight="false" outlineLevel="0" collapsed="false">
      <c r="A28" s="26" t="s">
        <v>84</v>
      </c>
      <c r="B28" s="27" t="n">
        <v>42000</v>
      </c>
      <c r="C28" s="27" t="n">
        <v>42000</v>
      </c>
      <c r="D28" s="27" t="n">
        <v>42000</v>
      </c>
      <c r="E28" s="45" t="n">
        <f aca="false">IF(ABS(B28)&gt;0,(C28-B28)/ABS(B28),0)</f>
        <v>0</v>
      </c>
    </row>
    <row r="29" customFormat="false" ht="15" hidden="false" customHeight="false" outlineLevel="0" collapsed="false">
      <c r="A29" s="26" t="s">
        <v>85</v>
      </c>
      <c r="B29" s="27" t="n">
        <v>168000</v>
      </c>
      <c r="C29" s="27" t="n">
        <v>168000</v>
      </c>
      <c r="D29" s="27" t="n">
        <v>168000</v>
      </c>
      <c r="E29" s="45" t="n">
        <f aca="false">IF(ABS(B29)&gt;0,(C29-B29)/ABS(B29),0)</f>
        <v>0</v>
      </c>
    </row>
    <row r="30" customFormat="false" ht="15" hidden="false" customHeight="false" outlineLevel="0" collapsed="false">
      <c r="A30" s="46" t="s">
        <v>86</v>
      </c>
      <c r="B30" s="47" t="n">
        <f aca="false">SUM(B25:B28)</f>
        <v>692000</v>
      </c>
      <c r="C30" s="47" t="n">
        <f aca="false">SUM(C25:C28)</f>
        <v>692000</v>
      </c>
      <c r="D30" s="47" t="n">
        <f aca="false">SUM(D25:D28)</f>
        <v>392000</v>
      </c>
      <c r="E30" s="32"/>
    </row>
    <row r="31" customFormat="false" ht="15" hidden="false" customHeight="false" outlineLevel="0" collapsed="false">
      <c r="A31" s="31"/>
      <c r="B31" s="32"/>
      <c r="C31" s="32"/>
      <c r="D31" s="32"/>
      <c r="E31" s="32"/>
    </row>
    <row r="32" customFormat="false" ht="15" hidden="false" customHeight="false" outlineLevel="0" collapsed="false">
      <c r="A32" s="49" t="s">
        <v>87</v>
      </c>
      <c r="B32" s="50" t="n">
        <f aca="false">B13-B22-B29</f>
        <v>-768000</v>
      </c>
      <c r="C32" s="50" t="n">
        <f aca="false">C13-C22-C29</f>
        <v>-1128000</v>
      </c>
      <c r="D32" s="50" t="n">
        <f aca="false">D13-D22-D29</f>
        <v>-1368000</v>
      </c>
      <c r="E32" s="32"/>
    </row>
    <row r="33" customFormat="false" ht="15" hidden="false" customHeight="false" outlineLevel="0" collapsed="false">
      <c r="A33" s="31"/>
      <c r="B33" s="32"/>
      <c r="C33" s="32"/>
      <c r="D33" s="32"/>
      <c r="E33" s="32"/>
    </row>
    <row r="34" customFormat="false" ht="15" hidden="false" customHeight="false" outlineLevel="0" collapsed="false">
      <c r="A34" s="51" t="s">
        <v>88</v>
      </c>
      <c r="B34" s="52" t="n">
        <v>282000</v>
      </c>
      <c r="C34" s="52" t="n">
        <v>188000</v>
      </c>
      <c r="D34" s="52" t="n">
        <v>94000</v>
      </c>
      <c r="E34" s="53" t="n">
        <f aca="false">IF(ABS(B34)&gt;0,(C34-B34)/ABS(B34),0)</f>
        <v>-0.333333333333333</v>
      </c>
    </row>
    <row r="35" customFormat="false" ht="15" hidden="false" customHeight="false" outlineLevel="0" collapsed="false">
      <c r="A35" s="31"/>
      <c r="B35" s="32"/>
      <c r="C35" s="32"/>
      <c r="D35" s="32"/>
      <c r="E35" s="32"/>
    </row>
    <row r="36" customFormat="false" ht="15" hidden="false" customHeight="false" outlineLevel="0" collapsed="false">
      <c r="A36" s="49" t="s">
        <v>89</v>
      </c>
      <c r="B36" s="50" t="n">
        <f aca="false">B31-B33</f>
        <v>0</v>
      </c>
      <c r="C36" s="50" t="n">
        <f aca="false">C31-C33</f>
        <v>0</v>
      </c>
      <c r="D36" s="50" t="n">
        <f aca="false">D31-D33</f>
        <v>0</v>
      </c>
      <c r="E36" s="32"/>
    </row>
    <row r="37" customFormat="false" ht="15" hidden="false" customHeight="false" outlineLevel="0" collapsed="false">
      <c r="A37" s="51" t="s">
        <v>90</v>
      </c>
      <c r="B37" s="52" t="n">
        <f aca="false">IF(B35&gt;0,B35*0.25,0)</f>
        <v>0</v>
      </c>
      <c r="C37" s="52" t="n">
        <f aca="false">IF(C35&gt;0,C35*0.25,0)</f>
        <v>0</v>
      </c>
      <c r="D37" s="52" t="n">
        <f aca="false">IF(D35&gt;0,D35*0.25,0)</f>
        <v>0</v>
      </c>
      <c r="E37" s="53" t="n">
        <f aca="false">IF(ABS(B37)&gt;0,(C37-B37)/ABS(B37),0)</f>
        <v>0</v>
      </c>
    </row>
    <row r="38" customFormat="false" ht="15" hidden="false" customHeight="false" outlineLevel="0" collapsed="false">
      <c r="A38" s="31"/>
      <c r="B38" s="32"/>
      <c r="C38" s="32"/>
      <c r="D38" s="32"/>
      <c r="E38" s="32"/>
    </row>
    <row r="39" customFormat="false" ht="15" hidden="false" customHeight="false" outlineLevel="0" collapsed="false">
      <c r="A39" s="22" t="s">
        <v>91</v>
      </c>
      <c r="B39" s="23" t="n">
        <f aca="false">B35-B36</f>
        <v>0</v>
      </c>
      <c r="C39" s="23" t="n">
        <f aca="false">C35-C36</f>
        <v>0</v>
      </c>
      <c r="D39" s="23" t="n">
        <f aca="false">D35-D36</f>
        <v>0</v>
      </c>
      <c r="E39" s="32"/>
    </row>
    <row r="40" customFormat="false" ht="15" hidden="false" customHeight="false" outlineLevel="0" collapsed="false">
      <c r="A40" s="43" t="s">
        <v>92</v>
      </c>
      <c r="B40" s="48" t="n">
        <f aca="false">IF(B7&gt;0,B38/B7,0)</f>
        <v>0</v>
      </c>
      <c r="C40" s="48" t="n">
        <f aca="false">IF(C7&gt;0,C38/C7,0)</f>
        <v>0</v>
      </c>
      <c r="D40" s="48" t="n">
        <f aca="false">IF(D7&gt;0,D38/D7,0)</f>
        <v>0</v>
      </c>
      <c r="E40" s="3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2"/>
    <col collapsed="false" customWidth="true" hidden="false" outlineLevel="0" max="15" min="15" style="0" width="16"/>
  </cols>
  <sheetData>
    <row r="1" customFormat="false" ht="36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  <c r="J2" s="2" t="s">
        <v>103</v>
      </c>
      <c r="K2" s="2" t="s">
        <v>104</v>
      </c>
      <c r="L2" s="2" t="s">
        <v>105</v>
      </c>
      <c r="M2" s="2" t="s">
        <v>106</v>
      </c>
      <c r="O2" s="54" t="s">
        <v>107</v>
      </c>
    </row>
    <row r="4" customFormat="false" ht="15" hidden="false" customHeight="false" outlineLevel="0" collapsed="false">
      <c r="A4" s="55" t="s">
        <v>108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customFormat="false" ht="23.85" hidden="false" customHeight="false" outlineLevel="0" collapsed="false">
      <c r="A5" s="14" t="s">
        <v>64</v>
      </c>
      <c r="B5" s="56" t="n">
        <v>0</v>
      </c>
      <c r="C5" s="56" t="n">
        <v>0</v>
      </c>
      <c r="D5" s="56" t="n">
        <v>0</v>
      </c>
      <c r="E5" s="56" t="n">
        <v>100000</v>
      </c>
      <c r="F5" s="56" t="n">
        <v>150000</v>
      </c>
      <c r="G5" s="56" t="n">
        <v>200000</v>
      </c>
      <c r="H5" s="56" t="n">
        <v>300000</v>
      </c>
      <c r="I5" s="56" t="n">
        <v>400000</v>
      </c>
      <c r="J5" s="56" t="n">
        <v>600000</v>
      </c>
      <c r="K5" s="56" t="n">
        <v>800000</v>
      </c>
      <c r="L5" s="56" t="n">
        <v>1000000</v>
      </c>
      <c r="M5" s="56" t="n">
        <v>1200000</v>
      </c>
      <c r="O5" s="57" t="n">
        <f aca="false">SUM(B5:N5)</f>
        <v>4750000</v>
      </c>
    </row>
    <row r="6" customFormat="false" ht="23.85" hidden="false" customHeight="false" outlineLevel="0" collapsed="false">
      <c r="A6" s="14" t="s">
        <v>65</v>
      </c>
      <c r="B6" s="56" t="n">
        <v>0</v>
      </c>
      <c r="C6" s="56" t="n">
        <v>0</v>
      </c>
      <c r="D6" s="56" t="n">
        <v>0</v>
      </c>
      <c r="E6" s="56" t="n">
        <v>0</v>
      </c>
      <c r="F6" s="56" t="n">
        <v>0</v>
      </c>
      <c r="G6" s="56" t="n">
        <v>50000</v>
      </c>
      <c r="H6" s="56" t="n">
        <v>100000</v>
      </c>
      <c r="I6" s="56" t="n">
        <v>150000</v>
      </c>
      <c r="J6" s="56" t="n">
        <v>200000</v>
      </c>
      <c r="K6" s="56" t="n">
        <v>250000</v>
      </c>
      <c r="L6" s="56" t="n">
        <v>300000</v>
      </c>
      <c r="M6" s="56" t="n">
        <v>350000</v>
      </c>
      <c r="O6" s="57" t="n">
        <f aca="false">SUM(B6:N6)</f>
        <v>1400000</v>
      </c>
    </row>
    <row r="7" customFormat="false" ht="23.85" hidden="false" customHeight="false" outlineLevel="0" collapsed="false">
      <c r="A7" s="14" t="s">
        <v>109</v>
      </c>
      <c r="B7" s="56" t="n">
        <v>7700000</v>
      </c>
      <c r="C7" s="56" t="n">
        <v>0</v>
      </c>
      <c r="D7" s="56" t="n">
        <v>0</v>
      </c>
      <c r="E7" s="56" t="n">
        <v>0</v>
      </c>
      <c r="F7" s="56" t="n">
        <v>0</v>
      </c>
      <c r="G7" s="56" t="n">
        <v>0</v>
      </c>
      <c r="H7" s="56" t="n">
        <v>0</v>
      </c>
      <c r="I7" s="56" t="n">
        <v>0</v>
      </c>
      <c r="J7" s="56" t="n">
        <v>0</v>
      </c>
      <c r="K7" s="56" t="n">
        <v>0</v>
      </c>
      <c r="L7" s="56" t="n">
        <v>0</v>
      </c>
      <c r="M7" s="56" t="n">
        <v>0</v>
      </c>
      <c r="O7" s="57" t="n">
        <f aca="false">SUM(B7:N7)</f>
        <v>7700000</v>
      </c>
    </row>
    <row r="8" customFormat="false" ht="23.85" hidden="false" customHeight="false" outlineLevel="0" collapsed="false">
      <c r="A8" s="37" t="s">
        <v>110</v>
      </c>
      <c r="B8" s="57" t="n">
        <f aca="false">SUM(B5:B7)</f>
        <v>7700000</v>
      </c>
      <c r="C8" s="57" t="n">
        <f aca="false">SUM(C5:C7)</f>
        <v>0</v>
      </c>
      <c r="D8" s="57" t="n">
        <f aca="false">SUM(D5:D7)</f>
        <v>0</v>
      </c>
      <c r="E8" s="57" t="n">
        <f aca="false">SUM(E5:E7)</f>
        <v>100000</v>
      </c>
      <c r="F8" s="57" t="n">
        <f aca="false">SUM(F5:F7)</f>
        <v>150000</v>
      </c>
      <c r="G8" s="57" t="n">
        <f aca="false">SUM(G5:G7)</f>
        <v>250000</v>
      </c>
      <c r="H8" s="57" t="n">
        <f aca="false">SUM(H5:H7)</f>
        <v>400000</v>
      </c>
      <c r="I8" s="57" t="n">
        <f aca="false">SUM(I5:I7)</f>
        <v>550000</v>
      </c>
      <c r="J8" s="57" t="n">
        <f aca="false">SUM(J5:J7)</f>
        <v>800000</v>
      </c>
      <c r="K8" s="57" t="n">
        <f aca="false">SUM(K5:K7)</f>
        <v>1050000</v>
      </c>
      <c r="L8" s="57" t="n">
        <f aca="false">SUM(L5:L7)</f>
        <v>1300000</v>
      </c>
      <c r="M8" s="57" t="n">
        <f aca="false">SUM(M5:M7)</f>
        <v>1550000</v>
      </c>
      <c r="O8" s="58" t="n">
        <f aca="false">SUM(B8:N8)</f>
        <v>13850000</v>
      </c>
    </row>
    <row r="10" customFormat="false" ht="15" hidden="false" customHeight="false" outlineLevel="0" collapsed="false">
      <c r="A10" s="59" t="s">
        <v>111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customFormat="false" ht="23.85" hidden="false" customHeight="false" outlineLevel="0" collapsed="false">
      <c r="A11" s="18" t="s">
        <v>112</v>
      </c>
      <c r="B11" s="20" t="n">
        <v>680000</v>
      </c>
      <c r="C11" s="20" t="n">
        <v>680000</v>
      </c>
      <c r="D11" s="20" t="n">
        <v>680000</v>
      </c>
      <c r="E11" s="20" t="n">
        <v>680000</v>
      </c>
      <c r="F11" s="20" t="n">
        <v>680000</v>
      </c>
      <c r="G11" s="20" t="n">
        <v>680000</v>
      </c>
      <c r="H11" s="20" t="n">
        <v>680000</v>
      </c>
      <c r="I11" s="20" t="n">
        <v>680000</v>
      </c>
      <c r="J11" s="20" t="n">
        <v>680000</v>
      </c>
      <c r="K11" s="20" t="n">
        <v>680000</v>
      </c>
      <c r="L11" s="20" t="n">
        <v>680000</v>
      </c>
      <c r="M11" s="20" t="n">
        <v>680000</v>
      </c>
      <c r="O11" s="60" t="n">
        <f aca="false">SUM(B11:N11)</f>
        <v>8160000</v>
      </c>
    </row>
    <row r="12" customFormat="false" ht="23.85" hidden="false" customHeight="false" outlineLevel="0" collapsed="false">
      <c r="A12" s="7" t="s">
        <v>69</v>
      </c>
      <c r="B12" s="8" t="n">
        <v>120000</v>
      </c>
      <c r="C12" s="8" t="n">
        <v>120000</v>
      </c>
      <c r="D12" s="8" t="n">
        <v>120000</v>
      </c>
      <c r="E12" s="8" t="n">
        <v>160000</v>
      </c>
      <c r="F12" s="8" t="n">
        <v>160000</v>
      </c>
      <c r="G12" s="8" t="n">
        <v>160000</v>
      </c>
      <c r="H12" s="8" t="n">
        <v>200000</v>
      </c>
      <c r="I12" s="8" t="n">
        <v>200000</v>
      </c>
      <c r="J12" s="8" t="n">
        <v>220000</v>
      </c>
      <c r="K12" s="8" t="n">
        <v>250000</v>
      </c>
      <c r="L12" s="8" t="n">
        <v>270000</v>
      </c>
      <c r="M12" s="8" t="n">
        <v>270000</v>
      </c>
      <c r="O12" s="60" t="n">
        <f aca="false">SUM(B12:N12)</f>
        <v>2250000</v>
      </c>
    </row>
    <row r="13" customFormat="false" ht="23.85" hidden="false" customHeight="false" outlineLevel="0" collapsed="false">
      <c r="A13" s="18" t="s">
        <v>113</v>
      </c>
      <c r="B13" s="20" t="n">
        <v>0</v>
      </c>
      <c r="C13" s="20" t="n">
        <v>0</v>
      </c>
      <c r="D13" s="20" t="n">
        <v>50000</v>
      </c>
      <c r="E13" s="20" t="n">
        <v>100000</v>
      </c>
      <c r="F13" s="20" t="n">
        <v>100000</v>
      </c>
      <c r="G13" s="20" t="n">
        <v>150000</v>
      </c>
      <c r="H13" s="20" t="n">
        <v>150000</v>
      </c>
      <c r="I13" s="20" t="n">
        <v>200000</v>
      </c>
      <c r="J13" s="20" t="n">
        <v>200000</v>
      </c>
      <c r="K13" s="20" t="n">
        <v>200000</v>
      </c>
      <c r="L13" s="20" t="n">
        <v>250000</v>
      </c>
      <c r="M13" s="20" t="n">
        <v>300000</v>
      </c>
      <c r="O13" s="60" t="n">
        <f aca="false">SUM(B13:N13)</f>
        <v>1700000</v>
      </c>
    </row>
    <row r="14" customFormat="false" ht="23.85" hidden="false" customHeight="false" outlineLevel="0" collapsed="false">
      <c r="A14" s="7" t="s">
        <v>77</v>
      </c>
      <c r="B14" s="8" t="n">
        <v>100000</v>
      </c>
      <c r="C14" s="8" t="n">
        <v>100000</v>
      </c>
      <c r="D14" s="8" t="n">
        <v>100000</v>
      </c>
      <c r="E14" s="8" t="n">
        <v>100000</v>
      </c>
      <c r="F14" s="8" t="n">
        <v>100000</v>
      </c>
      <c r="G14" s="8" t="n">
        <v>100000</v>
      </c>
      <c r="H14" s="8" t="n">
        <v>100000</v>
      </c>
      <c r="I14" s="8" t="n">
        <v>100000</v>
      </c>
      <c r="J14" s="8" t="n">
        <v>100000</v>
      </c>
      <c r="K14" s="8" t="n">
        <v>100000</v>
      </c>
      <c r="L14" s="8" t="n">
        <v>100000</v>
      </c>
      <c r="M14" s="8" t="n">
        <v>100000</v>
      </c>
      <c r="O14" s="60" t="n">
        <f aca="false">SUM(B14:N14)</f>
        <v>1200000</v>
      </c>
    </row>
    <row r="15" customFormat="false" ht="23.85" hidden="false" customHeight="false" outlineLevel="0" collapsed="false">
      <c r="A15" s="61" t="s">
        <v>114</v>
      </c>
      <c r="B15" s="62" t="n">
        <v>3000000</v>
      </c>
      <c r="C15" s="62" t="n">
        <v>0</v>
      </c>
      <c r="D15" s="62" t="n">
        <v>0</v>
      </c>
      <c r="E15" s="62" t="n">
        <v>0</v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2" t="n">
        <v>0</v>
      </c>
      <c r="M15" s="62" t="n">
        <v>0</v>
      </c>
      <c r="O15" s="60" t="n">
        <f aca="false">SUM(B15:N15)</f>
        <v>3000000</v>
      </c>
    </row>
    <row r="16" customFormat="false" ht="15" hidden="false" customHeight="false" outlineLevel="0" collapsed="false">
      <c r="A16" s="7" t="s">
        <v>115</v>
      </c>
      <c r="B16" s="8" t="n">
        <v>50000</v>
      </c>
      <c r="C16" s="8" t="n">
        <v>50000</v>
      </c>
      <c r="D16" s="8" t="n">
        <v>50000</v>
      </c>
      <c r="E16" s="8" t="n">
        <v>50000</v>
      </c>
      <c r="F16" s="8" t="n">
        <v>50000</v>
      </c>
      <c r="G16" s="8" t="n">
        <v>50000</v>
      </c>
      <c r="H16" s="8" t="n">
        <v>50000</v>
      </c>
      <c r="I16" s="8" t="n">
        <v>50000</v>
      </c>
      <c r="J16" s="8" t="n">
        <v>50000</v>
      </c>
      <c r="K16" s="8" t="n">
        <v>50000</v>
      </c>
      <c r="L16" s="8" t="n">
        <v>50000</v>
      </c>
      <c r="M16" s="8" t="n">
        <v>50000</v>
      </c>
      <c r="O16" s="60" t="n">
        <f aca="false">SUM(B16:N16)</f>
        <v>600000</v>
      </c>
    </row>
    <row r="17" customFormat="false" ht="23.85" hidden="false" customHeight="false" outlineLevel="0" collapsed="false">
      <c r="A17" s="63" t="s">
        <v>116</v>
      </c>
      <c r="B17" s="60" t="n">
        <f aca="false">SUM(B11:B16)</f>
        <v>3950000</v>
      </c>
      <c r="C17" s="60" t="n">
        <f aca="false">SUM(C11:C16)</f>
        <v>950000</v>
      </c>
      <c r="D17" s="60" t="n">
        <f aca="false">SUM(D11:D16)</f>
        <v>1000000</v>
      </c>
      <c r="E17" s="60" t="n">
        <f aca="false">SUM(E11:E16)</f>
        <v>1090000</v>
      </c>
      <c r="F17" s="60" t="n">
        <f aca="false">SUM(F11:F16)</f>
        <v>1090000</v>
      </c>
      <c r="G17" s="60" t="n">
        <f aca="false">SUM(G11:G16)</f>
        <v>1140000</v>
      </c>
      <c r="H17" s="60" t="n">
        <f aca="false">SUM(H11:H16)</f>
        <v>1180000</v>
      </c>
      <c r="I17" s="60" t="n">
        <f aca="false">SUM(I11:I16)</f>
        <v>1230000</v>
      </c>
      <c r="J17" s="60" t="n">
        <f aca="false">SUM(J11:J16)</f>
        <v>1250000</v>
      </c>
      <c r="K17" s="60" t="n">
        <f aca="false">SUM(K11:K16)</f>
        <v>1280000</v>
      </c>
      <c r="L17" s="60" t="n">
        <f aca="false">SUM(L11:L16)</f>
        <v>1350000</v>
      </c>
      <c r="M17" s="60" t="n">
        <f aca="false">SUM(M11:M16)</f>
        <v>1400000</v>
      </c>
      <c r="O17" s="64" t="n">
        <f aca="false">SUM(B17:N17)</f>
        <v>16910000</v>
      </c>
    </row>
    <row r="19" customFormat="false" ht="23.85" hidden="false" customHeight="false" outlineLevel="0" collapsed="false">
      <c r="A19" s="22" t="s">
        <v>117</v>
      </c>
      <c r="B19" s="6" t="n">
        <f aca="false">B8-B17</f>
        <v>3750000</v>
      </c>
      <c r="C19" s="6" t="n">
        <f aca="false">C8-C17</f>
        <v>-950000</v>
      </c>
      <c r="D19" s="6" t="n">
        <f aca="false">D8-D17</f>
        <v>-1000000</v>
      </c>
      <c r="E19" s="6" t="n">
        <f aca="false">E8-E17</f>
        <v>-990000</v>
      </c>
      <c r="F19" s="6" t="n">
        <f aca="false">F8-F17</f>
        <v>-940000</v>
      </c>
      <c r="G19" s="6" t="n">
        <f aca="false">G8-G17</f>
        <v>-890000</v>
      </c>
      <c r="H19" s="6" t="n">
        <f aca="false">H8-H17</f>
        <v>-780000</v>
      </c>
      <c r="I19" s="6" t="n">
        <f aca="false">I8-I17</f>
        <v>-680000</v>
      </c>
      <c r="J19" s="6" t="n">
        <f aca="false">J8-J17</f>
        <v>-450000</v>
      </c>
      <c r="K19" s="6" t="n">
        <f aca="false">K8-K17</f>
        <v>-230000</v>
      </c>
      <c r="L19" s="6" t="n">
        <f aca="false">L8-L17</f>
        <v>-50000</v>
      </c>
      <c r="M19" s="6" t="n">
        <f aca="false">M8-M17</f>
        <v>150000</v>
      </c>
      <c r="O19" s="58" t="n">
        <f aca="false">SUM(B19:N19)</f>
        <v>-3060000</v>
      </c>
    </row>
    <row r="20" customFormat="false" ht="23.85" hidden="false" customHeight="false" outlineLevel="0" collapsed="false">
      <c r="A20" s="65" t="s">
        <v>118</v>
      </c>
      <c r="B20" s="66" t="n">
        <v>0</v>
      </c>
      <c r="C20" s="67" t="n">
        <f aca="false">B21</f>
        <v>3750000</v>
      </c>
      <c r="D20" s="67" t="n">
        <f aca="false">C21</f>
        <v>2800000</v>
      </c>
      <c r="E20" s="67" t="n">
        <f aca="false">D21</f>
        <v>1800000</v>
      </c>
      <c r="F20" s="67" t="n">
        <f aca="false">E21</f>
        <v>810000</v>
      </c>
      <c r="G20" s="67" t="n">
        <f aca="false">F21</f>
        <v>-130000</v>
      </c>
      <c r="H20" s="67" t="n">
        <f aca="false">G21</f>
        <v>-1020000</v>
      </c>
      <c r="I20" s="67" t="n">
        <f aca="false">H21</f>
        <v>-1800000</v>
      </c>
      <c r="J20" s="67" t="n">
        <f aca="false">I21</f>
        <v>-2480000</v>
      </c>
      <c r="K20" s="67" t="n">
        <f aca="false">J21</f>
        <v>-2930000</v>
      </c>
      <c r="L20" s="67" t="n">
        <f aca="false">K21</f>
        <v>-3160000</v>
      </c>
      <c r="M20" s="67" t="n">
        <f aca="false">L21</f>
        <v>-3210000</v>
      </c>
      <c r="O20" s="68"/>
    </row>
    <row r="21" customFormat="false" ht="23.85" hidden="false" customHeight="false" outlineLevel="0" collapsed="false">
      <c r="A21" s="9" t="s">
        <v>119</v>
      </c>
      <c r="B21" s="57" t="n">
        <f aca="false">B19+B20</f>
        <v>3750000</v>
      </c>
      <c r="C21" s="57" t="n">
        <f aca="false">C19+C20</f>
        <v>2800000</v>
      </c>
      <c r="D21" s="57" t="n">
        <f aca="false">D19+D20</f>
        <v>1800000</v>
      </c>
      <c r="E21" s="57" t="n">
        <f aca="false">E19+E20</f>
        <v>810000</v>
      </c>
      <c r="F21" s="57" t="n">
        <f aca="false">F19+F20</f>
        <v>-130000</v>
      </c>
      <c r="G21" s="57" t="n">
        <f aca="false">G19+G20</f>
        <v>-1020000</v>
      </c>
      <c r="H21" s="57" t="n">
        <f aca="false">H19+H20</f>
        <v>-1800000</v>
      </c>
      <c r="I21" s="57" t="n">
        <f aca="false">I19+I20</f>
        <v>-2480000</v>
      </c>
      <c r="J21" s="57" t="n">
        <f aca="false">J19+J20</f>
        <v>-2930000</v>
      </c>
      <c r="K21" s="57" t="n">
        <f aca="false">K19+K20</f>
        <v>-3160000</v>
      </c>
      <c r="L21" s="57" t="n">
        <f aca="false">L19+L20</f>
        <v>-3210000</v>
      </c>
      <c r="M21" s="57" t="n">
        <f aca="false">M19+M20</f>
        <v>-3060000</v>
      </c>
      <c r="O21" s="69"/>
    </row>
  </sheetData>
  <mergeCells count="3">
    <mergeCell ref="A1:O1"/>
    <mergeCell ref="A4:O4"/>
    <mergeCell ref="A10:O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  <col collapsed="false" customWidth="true" hidden="false" outlineLevel="0" max="5" min="5" style="0" width="35"/>
  </cols>
  <sheetData>
    <row r="1" customFormat="false" ht="49.5" hidden="false" customHeight="true" outlineLevel="0" collapsed="false">
      <c r="A1" s="70" t="s">
        <v>120</v>
      </c>
      <c r="B1" s="70"/>
      <c r="C1" s="70"/>
      <c r="D1" s="70"/>
      <c r="E1" s="70"/>
    </row>
    <row r="2" customFormat="false" ht="24.75" hidden="false" customHeight="true" outlineLevel="0" collapsed="false">
      <c r="A2" s="71" t="s">
        <v>121</v>
      </c>
      <c r="B2" s="71"/>
      <c r="C2" s="71"/>
      <c r="D2" s="71"/>
      <c r="E2" s="71"/>
    </row>
    <row r="4" customFormat="false" ht="27.75" hidden="false" customHeight="true" outlineLevel="0" collapsed="false">
      <c r="A4" s="55" t="s">
        <v>122</v>
      </c>
      <c r="B4" s="55"/>
      <c r="C4" s="55"/>
      <c r="D4" s="55"/>
      <c r="E4" s="55"/>
    </row>
    <row r="5" customFormat="false" ht="15" hidden="false" customHeight="false" outlineLevel="0" collapsed="false">
      <c r="A5" s="54" t="s">
        <v>123</v>
      </c>
      <c r="B5" s="54" t="s">
        <v>124</v>
      </c>
      <c r="C5" s="54" t="s">
        <v>125</v>
      </c>
      <c r="D5" s="54" t="s">
        <v>126</v>
      </c>
      <c r="E5" s="54" t="s">
        <v>127</v>
      </c>
    </row>
    <row r="6" customFormat="false" ht="15" hidden="false" customHeight="false" outlineLevel="0" collapsed="false">
      <c r="A6" s="7" t="s">
        <v>128</v>
      </c>
      <c r="B6" s="72" t="n">
        <v>2000</v>
      </c>
      <c r="C6" s="72" t="n">
        <v>2000</v>
      </c>
      <c r="D6" s="7" t="n">
        <v>2200</v>
      </c>
      <c r="E6" s="73" t="s">
        <v>129</v>
      </c>
    </row>
    <row r="7" customFormat="false" ht="15" hidden="false" customHeight="false" outlineLevel="0" collapsed="false">
      <c r="A7" s="18" t="s">
        <v>130</v>
      </c>
      <c r="B7" s="74" t="n">
        <v>50000</v>
      </c>
      <c r="C7" s="74" t="n">
        <v>55000</v>
      </c>
      <c r="D7" s="18" t="n">
        <v>60000</v>
      </c>
      <c r="E7" s="75" t="s">
        <v>131</v>
      </c>
    </row>
    <row r="8" customFormat="false" ht="15" hidden="false" customHeight="false" outlineLevel="0" collapsed="false">
      <c r="A8" s="7" t="s">
        <v>132</v>
      </c>
      <c r="B8" s="72" t="n">
        <v>0</v>
      </c>
      <c r="C8" s="72" t="n">
        <v>100000</v>
      </c>
      <c r="D8" s="7" t="n">
        <v>150000</v>
      </c>
      <c r="E8" s="73" t="s">
        <v>133</v>
      </c>
    </row>
    <row r="9" customFormat="false" ht="15" hidden="false" customHeight="false" outlineLevel="0" collapsed="false">
      <c r="A9" s="18" t="s">
        <v>134</v>
      </c>
      <c r="B9" s="74" t="n">
        <v>150</v>
      </c>
      <c r="C9" s="74" t="n">
        <v>1000</v>
      </c>
      <c r="D9" s="18" t="n">
        <v>5000</v>
      </c>
      <c r="E9" s="75" t="s">
        <v>135</v>
      </c>
    </row>
    <row r="10" customFormat="false" ht="15" hidden="false" customHeight="false" outlineLevel="0" collapsed="false">
      <c r="A10" s="7" t="s">
        <v>136</v>
      </c>
      <c r="B10" s="72" t="n">
        <v>3</v>
      </c>
      <c r="C10" s="72" t="n">
        <v>20</v>
      </c>
      <c r="D10" s="7" t="n">
        <v>50</v>
      </c>
      <c r="E10" s="73" t="s">
        <v>137</v>
      </c>
    </row>
    <row r="11" customFormat="false" ht="15" hidden="false" customHeight="false" outlineLevel="0" collapsed="false">
      <c r="A11" s="18" t="s">
        <v>138</v>
      </c>
      <c r="B11" s="18" t="s">
        <v>139</v>
      </c>
      <c r="C11" s="18" t="s">
        <v>140</v>
      </c>
      <c r="D11" s="18" t="s">
        <v>141</v>
      </c>
      <c r="E11" s="75" t="s">
        <v>142</v>
      </c>
    </row>
    <row r="12" customFormat="false" ht="15" hidden="false" customHeight="false" outlineLevel="0" collapsed="false">
      <c r="A12" s="7" t="s">
        <v>143</v>
      </c>
      <c r="B12" s="7" t="s">
        <v>144</v>
      </c>
      <c r="C12" s="7" t="s">
        <v>145</v>
      </c>
      <c r="D12" s="7" t="s">
        <v>146</v>
      </c>
      <c r="E12" s="73" t="s">
        <v>147</v>
      </c>
    </row>
    <row r="14" customFormat="false" ht="27.75" hidden="false" customHeight="true" outlineLevel="0" collapsed="false">
      <c r="A14" s="55" t="s">
        <v>148</v>
      </c>
      <c r="B14" s="55"/>
      <c r="C14" s="55"/>
      <c r="D14" s="55"/>
      <c r="E14" s="55"/>
    </row>
    <row r="15" customFormat="false" ht="15" hidden="false" customHeight="false" outlineLevel="0" collapsed="false">
      <c r="A15" s="54" t="s">
        <v>149</v>
      </c>
      <c r="B15" s="54" t="s">
        <v>150</v>
      </c>
      <c r="C15" s="54" t="s">
        <v>151</v>
      </c>
      <c r="D15" s="54" t="s">
        <v>152</v>
      </c>
      <c r="E15" s="54" t="s">
        <v>153</v>
      </c>
    </row>
    <row r="16" customFormat="false" ht="15" hidden="false" customHeight="false" outlineLevel="0" collapsed="false">
      <c r="A16" s="7" t="s">
        <v>154</v>
      </c>
      <c r="B16" s="72" t="n">
        <v>680000</v>
      </c>
      <c r="C16" s="72" t="n">
        <v>1200000</v>
      </c>
      <c r="D16" s="72" t="n">
        <v>1800000</v>
      </c>
      <c r="E16" s="73" t="s">
        <v>155</v>
      </c>
    </row>
    <row r="17" customFormat="false" ht="15" hidden="false" customHeight="false" outlineLevel="0" collapsed="false">
      <c r="A17" s="18" t="s">
        <v>156</v>
      </c>
      <c r="B17" s="74" t="n">
        <v>100000</v>
      </c>
      <c r="C17" s="74" t="n">
        <v>250000</v>
      </c>
      <c r="D17" s="74" t="n">
        <v>500000</v>
      </c>
      <c r="E17" s="75" t="s">
        <v>157</v>
      </c>
    </row>
    <row r="18" customFormat="false" ht="15" hidden="false" customHeight="false" outlineLevel="0" collapsed="false">
      <c r="A18" s="7" t="s">
        <v>158</v>
      </c>
      <c r="B18" s="72" t="n">
        <v>80000</v>
      </c>
      <c r="C18" s="72" t="n">
        <v>200000</v>
      </c>
      <c r="D18" s="72" t="n">
        <v>400000</v>
      </c>
      <c r="E18" s="73" t="s">
        <v>157</v>
      </c>
    </row>
    <row r="19" customFormat="false" ht="15" hidden="false" customHeight="false" outlineLevel="0" collapsed="false">
      <c r="A19" s="18" t="s">
        <v>159</v>
      </c>
      <c r="B19" s="74" t="n">
        <v>40000</v>
      </c>
      <c r="C19" s="74" t="n">
        <v>80000</v>
      </c>
      <c r="D19" s="74" t="n">
        <v>120000</v>
      </c>
      <c r="E19" s="75" t="s">
        <v>160</v>
      </c>
    </row>
    <row r="20" customFormat="false" ht="15" hidden="false" customHeight="false" outlineLevel="0" collapsed="false">
      <c r="A20" s="7" t="s">
        <v>76</v>
      </c>
      <c r="B20" s="72" t="n">
        <v>150000</v>
      </c>
      <c r="C20" s="72" t="n">
        <v>350000</v>
      </c>
      <c r="D20" s="72" t="n">
        <v>525000</v>
      </c>
      <c r="E20" s="73" t="s">
        <v>161</v>
      </c>
    </row>
    <row r="21" customFormat="false" ht="15" hidden="false" customHeight="false" outlineLevel="0" collapsed="false">
      <c r="A21" s="18" t="s">
        <v>162</v>
      </c>
      <c r="B21" s="74" t="n">
        <v>100000</v>
      </c>
      <c r="C21" s="74" t="n">
        <v>150000</v>
      </c>
      <c r="D21" s="74" t="n">
        <v>200000</v>
      </c>
      <c r="E21" s="75" t="s">
        <v>155</v>
      </c>
    </row>
    <row r="22" customFormat="false" ht="15" hidden="false" customHeight="false" outlineLevel="0" collapsed="false">
      <c r="A22" s="7" t="s">
        <v>163</v>
      </c>
      <c r="B22" s="72" t="n">
        <v>30000</v>
      </c>
      <c r="C22" s="72" t="n">
        <v>40000</v>
      </c>
      <c r="D22" s="72" t="n">
        <v>50000</v>
      </c>
      <c r="E22" s="73" t="s">
        <v>155</v>
      </c>
    </row>
    <row r="23" customFormat="false" ht="15" hidden="false" customHeight="false" outlineLevel="0" collapsed="false">
      <c r="A23" s="18" t="s">
        <v>164</v>
      </c>
      <c r="B23" s="74" t="n">
        <v>50000</v>
      </c>
      <c r="C23" s="74" t="n">
        <v>80000</v>
      </c>
      <c r="D23" s="74" t="n">
        <v>100000</v>
      </c>
      <c r="E23" s="75" t="s">
        <v>160</v>
      </c>
    </row>
    <row r="24" customFormat="false" ht="15" hidden="false" customHeight="false" outlineLevel="0" collapsed="false">
      <c r="A24" s="76" t="s">
        <v>165</v>
      </c>
      <c r="B24" s="76" t="n">
        <f aca="false">SUM(B16:B23)</f>
        <v>1230000</v>
      </c>
      <c r="C24" s="76" t="n">
        <f aca="false">SUM(C16:C23)</f>
        <v>2350000</v>
      </c>
      <c r="D24" s="76" t="n">
        <f aca="false">SUM(D16:D23)</f>
        <v>3695000</v>
      </c>
      <c r="E24" s="77"/>
    </row>
    <row r="25" customFormat="false" ht="27.75" hidden="false" customHeight="true" outlineLevel="0" collapsed="false">
      <c r="A25" s="55" t="s">
        <v>166</v>
      </c>
      <c r="B25" s="55"/>
      <c r="C25" s="55"/>
      <c r="D25" s="55"/>
      <c r="E25" s="55"/>
    </row>
    <row r="26" customFormat="false" ht="15" hidden="false" customHeight="false" outlineLevel="0" collapsed="false">
      <c r="A26" s="54" t="s">
        <v>167</v>
      </c>
      <c r="B26" s="54" t="s">
        <v>168</v>
      </c>
      <c r="C26" s="54" t="s">
        <v>169</v>
      </c>
      <c r="D26" s="54" t="s">
        <v>170</v>
      </c>
      <c r="E26" s="54" t="s">
        <v>171</v>
      </c>
    </row>
    <row r="27" customFormat="false" ht="15" hidden="false" customHeight="false" outlineLevel="0" collapsed="false">
      <c r="A27" s="7" t="s">
        <v>172</v>
      </c>
      <c r="B27" s="7" t="n">
        <v>3</v>
      </c>
      <c r="C27" s="72" t="n">
        <v>350000</v>
      </c>
      <c r="D27" s="7" t="n">
        <f aca="false">B27*C27</f>
        <v>1050000</v>
      </c>
      <c r="E27" s="73" t="s">
        <v>173</v>
      </c>
    </row>
    <row r="28" customFormat="false" ht="15" hidden="false" customHeight="false" outlineLevel="0" collapsed="false">
      <c r="A28" s="18" t="s">
        <v>174</v>
      </c>
      <c r="B28" s="18" t="n">
        <v>1</v>
      </c>
      <c r="C28" s="74" t="n">
        <v>200000</v>
      </c>
      <c r="D28" s="18" t="n">
        <f aca="false">B28*C28</f>
        <v>200000</v>
      </c>
      <c r="E28" s="75" t="s">
        <v>175</v>
      </c>
    </row>
    <row r="29" customFormat="false" ht="15" hidden="false" customHeight="false" outlineLevel="0" collapsed="false">
      <c r="A29" s="7" t="s">
        <v>176</v>
      </c>
      <c r="B29" s="7" t="n">
        <v>3</v>
      </c>
      <c r="C29" s="72" t="n">
        <v>80000</v>
      </c>
      <c r="D29" s="7" t="n">
        <f aca="false">B29*C29</f>
        <v>240000</v>
      </c>
      <c r="E29" s="73" t="s">
        <v>175</v>
      </c>
    </row>
    <row r="30" customFormat="false" ht="15" hidden="false" customHeight="false" outlineLevel="0" collapsed="false">
      <c r="A30" s="18" t="s">
        <v>177</v>
      </c>
      <c r="B30" s="18" t="n">
        <v>1</v>
      </c>
      <c r="C30" s="74" t="n">
        <v>210000</v>
      </c>
      <c r="D30" s="18" t="n">
        <f aca="false">B30*C30</f>
        <v>210000</v>
      </c>
      <c r="E30" s="75" t="s">
        <v>175</v>
      </c>
    </row>
    <row r="31" customFormat="false" ht="15" hidden="false" customHeight="false" outlineLevel="0" collapsed="false">
      <c r="A31" s="7" t="s">
        <v>178</v>
      </c>
      <c r="B31" s="7" t="n">
        <v>1</v>
      </c>
      <c r="C31" s="72" t="n">
        <v>500000</v>
      </c>
      <c r="D31" s="7" t="n">
        <f aca="false">B31*C31</f>
        <v>500000</v>
      </c>
      <c r="E31" s="73" t="s">
        <v>179</v>
      </c>
    </row>
    <row r="32" customFormat="false" ht="15" hidden="false" customHeight="false" outlineLevel="0" collapsed="false">
      <c r="A32" s="18" t="s">
        <v>180</v>
      </c>
      <c r="B32" s="18" t="n">
        <v>1</v>
      </c>
      <c r="C32" s="74" t="n">
        <v>800000</v>
      </c>
      <c r="D32" s="18" t="n">
        <f aca="false">B32*C32</f>
        <v>800000</v>
      </c>
      <c r="E32" s="75" t="s">
        <v>179</v>
      </c>
    </row>
    <row r="33" customFormat="false" ht="15" hidden="false" customHeight="false" outlineLevel="0" collapsed="false">
      <c r="A33" s="7" t="s">
        <v>181</v>
      </c>
      <c r="B33" s="7" t="n">
        <v>1</v>
      </c>
      <c r="C33" s="72" t="n">
        <v>200000</v>
      </c>
      <c r="D33" s="7" t="n">
        <f aca="false">B33*C33</f>
        <v>200000</v>
      </c>
      <c r="E33" s="73" t="s">
        <v>15</v>
      </c>
    </row>
    <row r="34" customFormat="false" ht="15" hidden="false" customHeight="false" outlineLevel="0" collapsed="false">
      <c r="A34" s="76" t="s">
        <v>182</v>
      </c>
      <c r="B34" s="76"/>
      <c r="C34" s="76"/>
      <c r="D34" s="76" t="n">
        <f aca="false">SUM(D27:D33)</f>
        <v>3200000</v>
      </c>
      <c r="E34" s="77"/>
    </row>
    <row r="36" customFormat="false" ht="27.75" hidden="false" customHeight="true" outlineLevel="0" collapsed="false">
      <c r="A36" s="55" t="s">
        <v>183</v>
      </c>
      <c r="B36" s="55"/>
      <c r="C36" s="55"/>
      <c r="D36" s="55"/>
      <c r="E36" s="55"/>
    </row>
    <row r="37" customFormat="false" ht="15" hidden="false" customHeight="false" outlineLevel="0" collapsed="false">
      <c r="A37" s="54" t="s">
        <v>184</v>
      </c>
      <c r="B37" s="54" t="s">
        <v>185</v>
      </c>
      <c r="C37" s="54" t="s">
        <v>186</v>
      </c>
      <c r="D37" s="54"/>
      <c r="E37" s="54"/>
    </row>
    <row r="38" customFormat="false" ht="15" hidden="false" customHeight="false" outlineLevel="0" collapsed="false">
      <c r="A38" s="7" t="s">
        <v>187</v>
      </c>
      <c r="B38" s="72" t="n">
        <v>2000000</v>
      </c>
      <c r="C38" s="78" t="n">
        <f aca="false">B38/SUM(B38:B40)</f>
        <v>0.25974025974026</v>
      </c>
    </row>
    <row r="39" customFormat="false" ht="15" hidden="false" customHeight="false" outlineLevel="0" collapsed="false">
      <c r="A39" s="18" t="s">
        <v>188</v>
      </c>
      <c r="B39" s="74" t="n">
        <v>1000000</v>
      </c>
      <c r="C39" s="79" t="n">
        <f aca="false">B39/SUM(B38:B40)</f>
        <v>0.12987012987013</v>
      </c>
    </row>
    <row r="40" customFormat="false" ht="15" hidden="false" customHeight="false" outlineLevel="0" collapsed="false">
      <c r="A40" s="7" t="s">
        <v>189</v>
      </c>
      <c r="B40" s="72" t="n">
        <v>4700000</v>
      </c>
      <c r="C40" s="78" t="n">
        <f aca="false">B40/SUM(B38:B40)</f>
        <v>0.61038961038961</v>
      </c>
    </row>
    <row r="41" customFormat="false" ht="15" hidden="false" customHeight="false" outlineLevel="0" collapsed="false">
      <c r="A41" s="76" t="s">
        <v>190</v>
      </c>
      <c r="B41" s="80" t="n">
        <f aca="false">SUM(B38:B40)</f>
        <v>7700000</v>
      </c>
      <c r="C41" s="76"/>
    </row>
  </sheetData>
  <mergeCells count="6">
    <mergeCell ref="A1:E1"/>
    <mergeCell ref="A2:E2"/>
    <mergeCell ref="A4:E4"/>
    <mergeCell ref="A14:E14"/>
    <mergeCell ref="A25:E25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4"/>
  </cols>
  <sheetData>
    <row r="1" customFormat="false" ht="49.5" hidden="false" customHeight="true" outlineLevel="0" collapsed="false">
      <c r="A1" s="70" t="s">
        <v>191</v>
      </c>
      <c r="B1" s="70"/>
      <c r="C1" s="70"/>
      <c r="D1" s="70"/>
    </row>
    <row r="2" customFormat="false" ht="15" hidden="false" customHeight="false" outlineLevel="0" collapsed="false">
      <c r="A2" s="81" t="s">
        <v>192</v>
      </c>
      <c r="B2" s="81"/>
      <c r="C2" s="81"/>
      <c r="D2" s="81"/>
    </row>
    <row r="3" customFormat="false" ht="15" hidden="false" customHeight="false" outlineLevel="0" collapsed="false">
      <c r="A3" s="2" t="s">
        <v>193</v>
      </c>
      <c r="B3" s="2" t="s">
        <v>194</v>
      </c>
      <c r="C3" s="2" t="s">
        <v>195</v>
      </c>
      <c r="D3" s="2" t="s">
        <v>196</v>
      </c>
    </row>
    <row r="4" customFormat="false" ht="15" hidden="false" customHeight="false" outlineLevel="0" collapsed="false">
      <c r="A4" s="76" t="s">
        <v>197</v>
      </c>
      <c r="B4" s="82" t="n">
        <v>5400000</v>
      </c>
      <c r="C4" s="82" t="n">
        <v>42000000</v>
      </c>
      <c r="D4" s="82" t="n">
        <v>126000000</v>
      </c>
    </row>
    <row r="5" customFormat="false" ht="15" hidden="false" customHeight="false" outlineLevel="0" collapsed="false">
      <c r="A5" s="18" t="s">
        <v>198</v>
      </c>
      <c r="B5" s="21" t="s">
        <v>199</v>
      </c>
      <c r="C5" s="21" t="s">
        <v>200</v>
      </c>
      <c r="D5" s="21" t="s">
        <v>201</v>
      </c>
    </row>
    <row r="6" customFormat="false" ht="15" hidden="false" customHeight="false" outlineLevel="0" collapsed="false">
      <c r="A6" s="7" t="s">
        <v>202</v>
      </c>
      <c r="B6" s="8" t="n">
        <v>4020000</v>
      </c>
      <c r="C6" s="8" t="n">
        <v>37200000</v>
      </c>
      <c r="D6" s="8" t="n">
        <v>115200000</v>
      </c>
    </row>
    <row r="7" customFormat="false" ht="15" hidden="false" customHeight="false" outlineLevel="0" collapsed="false">
      <c r="A7" s="18" t="s">
        <v>73</v>
      </c>
      <c r="B7" s="21" t="s">
        <v>203</v>
      </c>
      <c r="C7" s="21" t="s">
        <v>204</v>
      </c>
      <c r="D7" s="21" t="s">
        <v>205</v>
      </c>
    </row>
    <row r="8" customFormat="false" ht="15" hidden="false" customHeight="false" outlineLevel="0" collapsed="false">
      <c r="A8" s="7" t="s">
        <v>206</v>
      </c>
      <c r="B8" s="8" t="n">
        <v>12360000</v>
      </c>
      <c r="C8" s="8" t="n">
        <v>22440000</v>
      </c>
      <c r="D8" s="8" t="n">
        <v>30300000</v>
      </c>
    </row>
    <row r="9" customFormat="false" ht="15" hidden="false" customHeight="false" outlineLevel="0" collapsed="false">
      <c r="A9" s="9" t="s">
        <v>18</v>
      </c>
      <c r="B9" s="83" t="n">
        <v>-7480000</v>
      </c>
      <c r="C9" s="84" t="n">
        <v>15620000</v>
      </c>
      <c r="D9" s="84" t="n">
        <v>85760000</v>
      </c>
    </row>
    <row r="10" customFormat="false" ht="15" hidden="false" customHeight="false" outlineLevel="0" collapsed="false">
      <c r="A10" s="9" t="s">
        <v>207</v>
      </c>
      <c r="B10" s="83" t="n">
        <v>-8282000</v>
      </c>
      <c r="C10" s="84" t="n">
        <v>8814000</v>
      </c>
      <c r="D10" s="84" t="n">
        <v>63184000</v>
      </c>
    </row>
    <row r="11" customFormat="false" ht="15" hidden="false" customHeight="false" outlineLevel="0" collapsed="false">
      <c r="A11" s="18" t="s">
        <v>92</v>
      </c>
      <c r="B11" s="21" t="s">
        <v>199</v>
      </c>
      <c r="C11" s="21" t="s">
        <v>208</v>
      </c>
      <c r="D11" s="21" t="s">
        <v>209</v>
      </c>
    </row>
    <row r="12" customFormat="false" ht="15" hidden="false" customHeight="false" outlineLevel="0" collapsed="false">
      <c r="A12" s="7" t="s">
        <v>210</v>
      </c>
      <c r="B12" s="85" t="n">
        <v>150</v>
      </c>
      <c r="C12" s="85" t="n">
        <v>1000</v>
      </c>
      <c r="D12" s="85" t="n">
        <v>5000</v>
      </c>
    </row>
    <row r="13" customFormat="false" ht="15" hidden="false" customHeight="false" outlineLevel="0" collapsed="false">
      <c r="A13" s="18" t="s">
        <v>211</v>
      </c>
      <c r="B13" s="86" t="n">
        <v>3</v>
      </c>
      <c r="C13" s="86" t="n">
        <v>20</v>
      </c>
      <c r="D13" s="86" t="n">
        <v>50</v>
      </c>
    </row>
    <row r="14" customFormat="false" ht="15" hidden="false" customHeight="false" outlineLevel="0" collapsed="false">
      <c r="A14" s="7" t="s">
        <v>212</v>
      </c>
      <c r="B14" s="85" t="n">
        <v>5</v>
      </c>
      <c r="C14" s="85" t="n">
        <v>8</v>
      </c>
      <c r="D14" s="85" t="n">
        <v>15</v>
      </c>
    </row>
    <row r="15" customFormat="false" ht="15" hidden="false" customHeight="false" outlineLevel="0" collapsed="false">
      <c r="A15" s="87" t="s">
        <v>213</v>
      </c>
      <c r="B15" s="88" t="n">
        <v>2300000</v>
      </c>
      <c r="C15" s="88" t="n">
        <v>12500000</v>
      </c>
      <c r="D15" s="88" t="n">
        <v>52000000</v>
      </c>
    </row>
    <row r="17" customFormat="false" ht="34.5" hidden="false" customHeight="true" outlineLevel="0" collapsed="false">
      <c r="A17" s="89" t="s">
        <v>214</v>
      </c>
      <c r="B17" s="89"/>
      <c r="C17" s="89"/>
      <c r="D17" s="89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2026-03-28T15:21:10Z</dcterms:created>
  <dc:creator>openpyxl</dc:creator>
  <dc:description/>
  <dc:language>en-US</dc:language>
  <cp:lastModifiedBy/>
  <dcterms:modified xsi:type="dcterms:W3CDTF">2026-03-28T15:21:10Z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